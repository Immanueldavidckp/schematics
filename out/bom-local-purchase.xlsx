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Price Compare" sheetId="1" state="visible" r:id="rId1"/>
    <sheet name="Price estimate" sheetId="2" state="visible" r:id="rId2"/>
    <sheet name="BOM flags" sheetId="3" state="visible" r:id="rId3"/>
    <sheet name="Not purchased" sheetId="4" state="visible" r:id="rId4"/>
    <sheet name="All refs" sheetId="5" state="visible" r:id="rId5"/>
  </sheets>
  <definedNames>
    <definedName name="_xlnm._FilterDatabase" localSheetId="0" hidden="1">'Local Price Compare'!$A$8:$U$91</definedName>
    <definedName name="_xlnm._FilterDatabase" localSheetId="4" hidden="1">'All refs'!$A$1:$F$212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0.000"/>
    <numFmt numFmtId="165" formatCode="₹#,##0.00"/>
    <numFmt numFmtId="166" formatCode="+0%;-0%;0%"/>
    <numFmt numFmtId="167" formatCode="$0.0000"/>
    <numFmt numFmtId="168" formatCode="₹#,##0"/>
    <numFmt numFmtId="169" formatCode="0.0%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b val="1"/>
      <color rgb="000000FF"/>
    </font>
    <font>
      <name val="Arial"/>
      <sz val="9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  <color rgb="00C00000"/>
    </font>
    <font>
      <name val="Arial"/>
      <color theme="1"/>
      <sz val="11"/>
    </font>
    <font>
      <name val="Arial"/>
      <b val="1"/>
      <sz val="13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2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5" borderId="0" pivotButton="0" quotePrefix="0" xfId="0"/>
    <xf numFmtId="0" fontId="8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65" fontId="7" fillId="2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5" fontId="3" fillId="0" borderId="0" pivotButton="0" quotePrefix="0" xfId="0"/>
    <xf numFmtId="0" fontId="4" fillId="2" borderId="0" pivotButton="0" quotePrefix="0" xfId="0"/>
    <xf numFmtId="0" fontId="8" fillId="0" borderId="1" applyAlignment="1" pivotButton="0" quotePrefix="0" xfId="0">
      <alignment vertical="top"/>
    </xf>
    <xf numFmtId="167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167" fontId="8" fillId="0" borderId="1" applyAlignment="1" pivotButton="0" quotePrefix="0" xfId="0">
      <alignment vertical="top"/>
    </xf>
    <xf numFmtId="165" fontId="8" fillId="0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12" fillId="0" borderId="0" pivotButton="0" quotePrefix="0" xfId="0"/>
    <xf numFmtId="168" fontId="12" fillId="0" borderId="0" pivotButton="0" quotePrefix="0" xfId="0"/>
    <xf numFmtId="168" fontId="3" fillId="0" borderId="0" pivotButton="0" quotePrefix="0" xfId="0"/>
    <xf numFmtId="168" fontId="5" fillId="0" borderId="0" pivotButton="0" quotePrefix="0" xfId="0"/>
    <xf numFmtId="0" fontId="6" fillId="3" borderId="0" pivotButton="0" quotePrefix="0" xfId="0"/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9" fontId="8" fillId="0" borderId="1" pivotButton="0" quotePrefix="0" xfId="0"/>
    <xf numFmtId="0" fontId="11" fillId="0" borderId="0" pivotButton="0" quotePrefix="0" xfId="0"/>
    <xf numFmtId="0" fontId="3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BOM</author>
  </authors>
  <commentList>
    <comment ref="K10" authorId="0" shapeId="0">
      <text>
        <t>Source: JLC/LCSC ~Aug-2026, @250+ (handoff §3). Indicative only, re-check on order day.</t>
      </text>
    </comment>
    <comment ref="K11" authorId="0" shapeId="0">
      <text>
        <t>Source: JLC/LCSC ~Aug-2026, @250+ (handoff §3). Indicative only, re-check on order day.</t>
      </text>
    </comment>
    <comment ref="K12" authorId="0" shapeId="0">
      <text>
        <t>Source: JLC/LCSC ~Aug-2026, @250+ (handoff §3). Indicative only, re-check on order day.</t>
      </text>
    </comment>
    <comment ref="K13" authorId="0" shapeId="0">
      <text>
        <t>Source: JLC/LCSC ~Aug-2026, @250+ (handoff §3). Indicative only, re-check on order day.</t>
      </text>
    </comment>
    <comment ref="K15" authorId="0" shapeId="0">
      <text>
        <t>Source: JLC/LCSC ~Aug-2026, @250+ (handoff §3). Indicative only, re-check on order day.</t>
      </text>
    </comment>
    <comment ref="K16" authorId="0" shapeId="0">
      <text>
        <t>Source: LCSC (design log F-3). Indicative only, re-check on order day.</t>
      </text>
    </comment>
    <comment ref="K17" authorId="0" shapeId="0">
      <text>
        <t>Source: estimate (handoff §3). Indicative only, re-check on order day.</t>
      </text>
    </comment>
    <comment ref="K18" authorId="0" shapeId="0">
      <text>
        <t>Source: estimate (handoff §3). Indicative only, re-check on order day.</t>
      </text>
    </comment>
    <comment ref="K20" authorId="0" shapeId="0">
      <text>
        <t>Source: estimate (handoff §3). Indicative only, re-check on order day.</t>
      </text>
    </comment>
    <comment ref="K22" authorId="0" shapeId="0">
      <text>
        <t>Source: LCSC (design log). Indicative only, re-check on order day.</t>
      </text>
    </comment>
    <comment ref="K24" authorId="0" shapeId="0">
      <text>
        <t>Source: estimate (handoff §3). Indicative only, re-check on order day.</t>
      </text>
    </comment>
    <comment ref="K25" authorId="0" shapeId="0">
      <text>
        <t>Source: JLC/LCSC ~Aug-2026, @500 (design log). Indicative only, re-check on order day.</t>
      </text>
    </comment>
    <comment ref="K27" authorId="0" shapeId="0">
      <text>
        <t>Source: estimate (handoff §3). Indicative only, re-check on order day.</t>
      </text>
    </comment>
    <comment ref="K33" authorId="0" shapeId="0">
      <text>
        <t>Source: JLC/LCSC ~Aug-2026, @1k (design log). Indicative only, re-check on order day.</t>
      </text>
    </comment>
    <comment ref="K34" authorId="0" shapeId="0">
      <text>
        <t>Source: LCSC @100 (design log). Indicative only, re-check on order day.</t>
      </text>
    </comment>
    <comment ref="K39" authorId="0" shapeId="0">
      <text>
        <t>Source: JLC/LCSC ~Aug-2026, @1k (design log). Indicative only, re-check on order day.</t>
      </text>
    </comment>
    <comment ref="K47" authorId="0" shapeId="0">
      <text>
        <t>Source: JLC/LCSC ~Aug-2026, @500 (design log). Indicative only, re-check on order day.</t>
      </text>
    </comment>
    <comment ref="K49" authorId="0" shapeId="0">
      <text>
        <t>Source: LCSC (design log). Indicative only, re-check on order day.</t>
      </text>
    </comment>
    <comment ref="K89" authorId="0" shapeId="0">
      <text>
        <t>Source: LCSC @250 (installation sheet). Indicative only, re-check on order day.</t>
      </text>
    </comment>
    <comment ref="K90" authorId="0" shapeId="0">
      <text>
        <t>Source: LCSC @250 (installation sheet). Indicative only, re-check on order day.</t>
      </text>
    </comment>
    <comment ref="K91" authorId="0" shapeId="0">
      <text>
        <t>Source: estimate (handoff §3). Indicative only, re-check on order day.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34" customWidth="1" min="4" max="4"/>
    <col width="28" customWidth="1" min="5" max="5"/>
    <col width="16" customWidth="1" min="6" max="6"/>
    <col width="26" customWidth="1" min="7" max="7"/>
    <col width="7" customWidth="1" min="8" max="8"/>
    <col width="7" customWidth="1" min="9" max="9"/>
    <col width="7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12" customWidth="1" min="17" max="17"/>
    <col width="11" customWidth="1" min="18" max="18"/>
    <col width="9" customWidth="1" min="19" max="19"/>
    <col width="16" customWidth="1" min="20" max="20"/>
    <col width="52" customWidth="1" min="21" max="21"/>
  </cols>
  <sheetData>
    <row r="1">
      <c r="A1" s="1" t="inlineStr">
        <is>
          <t>MEWP Telematics Tracker — BOM for local purchase price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Source: schematic sheets (power, mcu, io, modem_rf, storage) as committed. Test points, solder jumpers and DNP parts are not purchased (see other tabs).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4" t="inlineStr">
        <is>
          <t>Boards to build</t>
        </is>
      </c>
      <c r="B3" s="2" t="n"/>
      <c r="C3" s="5" t="n">
        <v>10</v>
      </c>
      <c r="D3" s="3" t="inlineStr">
        <is>
          <t>Number of boards you are buying parts for.</t>
        </is>
      </c>
      <c r="E3" s="2" t="n"/>
      <c r="F3" s="2" t="n"/>
      <c r="G3" s="2" t="n"/>
      <c r="H3" s="4" t="inlineStr">
        <is>
          <t>How to use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4" t="inlineStr">
        <is>
          <t>USD → INR rate</t>
        </is>
      </c>
      <c r="B4" s="2" t="n"/>
      <c r="C4" s="6" t="n">
        <v>96</v>
      </c>
      <c r="D4" s="3" t="inlineStr">
        <is>
          <t>~₹95.9 interbank on 1-Oct-2026. Edit to today's rate. Used only to convert the JLC/LCSC reference price.</t>
        </is>
      </c>
      <c r="E4" s="2" t="n"/>
      <c r="F4" s="2" t="n"/>
      <c r="G4" s="2" t="n"/>
      <c r="H4" s="7" t="inlineStr">
        <is>
          <t>Yellow cells are inputs. Type each shop's price per piece in ₹ under Shop 1/2/3 (incl. GST), e.g. 0.45 or 1250.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4" t="inlineStr">
        <is>
          <t>Default spares per line (pcs)</t>
        </is>
      </c>
      <c r="B5" s="2" t="n"/>
      <c r="C5" s="5" t="n">
        <v>0</v>
      </c>
      <c r="D5" s="3" t="inlineStr">
        <is>
          <t>Extra pieces added to every line. Small passives are often sold in strips of 10-100 anyway.</t>
        </is>
      </c>
      <c r="E5" s="2" t="n"/>
      <c r="F5" s="2" t="n"/>
      <c r="G5" s="2" t="n"/>
      <c r="H5" s="7" t="inlineStr">
        <is>
          <t>Rename the Shop 1/2/3 headers to the shop names. 'Best shop' picks the cheapest filled-in price.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7" t="inlineStr">
        <is>
          <t>'Substitute?' says how strict to be. Red rows have a BOM problem: read the Notes and the 'BOM flags' tab before buying.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32" customHeight="1">
      <c r="A8" s="8" t="inlineStr">
        <is>
          <t>#</t>
        </is>
      </c>
      <c r="B8" s="8" t="inlineStr">
        <is>
          <t>Part / value</t>
        </is>
      </c>
      <c r="C8" s="8" t="inlineStr">
        <is>
          <t>Package</t>
        </is>
      </c>
      <c r="D8" s="8" t="inlineStr">
        <is>
          <t>Spec to ask for</t>
        </is>
      </c>
      <c r="E8" s="8" t="inlineStr">
        <is>
          <t>Manufacturer part (from repo)</t>
        </is>
      </c>
      <c r="F8" s="8" t="inlineStr">
        <is>
          <t>LCSC #</t>
        </is>
      </c>
      <c r="G8" s="8" t="inlineStr">
        <is>
          <t>Ref designators</t>
        </is>
      </c>
      <c r="H8" s="8" t="inlineStr">
        <is>
          <t>Qty / board</t>
        </is>
      </c>
      <c r="I8" s="8" t="inlineStr">
        <is>
          <t>Spares</t>
        </is>
      </c>
      <c r="J8" s="8" t="inlineStr">
        <is>
          <t>Buy qty</t>
        </is>
      </c>
      <c r="K8" s="8" t="inlineStr">
        <is>
          <t>JLC ref $/pc</t>
        </is>
      </c>
      <c r="L8" s="8" t="inlineStr">
        <is>
          <t>JLC ref ₹/pc</t>
        </is>
      </c>
      <c r="M8" s="9" t="inlineStr">
        <is>
          <t>Shop 1</t>
        </is>
      </c>
      <c r="N8" s="9" t="inlineStr">
        <is>
          <t>Shop 2</t>
        </is>
      </c>
      <c r="O8" s="9" t="inlineStr">
        <is>
          <t>Shop 3</t>
        </is>
      </c>
      <c r="P8" s="8" t="inlineStr">
        <is>
          <t>Best ₹/pc</t>
        </is>
      </c>
      <c r="Q8" s="8" t="inlineStr">
        <is>
          <t>Best shop</t>
        </is>
      </c>
      <c r="R8" s="8" t="inlineStr">
        <is>
          <t>Line total ₹</t>
        </is>
      </c>
      <c r="S8" s="8" t="inlineStr">
        <is>
          <t>Local vs JLC</t>
        </is>
      </c>
      <c r="T8" s="8" t="inlineStr">
        <is>
          <t>Substitute?</t>
        </is>
      </c>
      <c r="U8" s="8" t="inlineStr">
        <is>
          <t>Notes</t>
        </is>
      </c>
    </row>
    <row r="9">
      <c r="A9" s="10" t="inlineStr">
        <is>
          <t>Modules &amp; ICs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A10" s="12" t="n">
        <v>1</v>
      </c>
      <c r="B10" s="12" t="inlineStr">
        <is>
          <t>EC200UCNAA-N05-SGNSA</t>
        </is>
      </c>
      <c r="C10" s="12" t="inlineStr">
        <is>
          <t>LCC-LGA-144</t>
        </is>
      </c>
      <c r="D10" s="12" t="inlineStr">
        <is>
          <t>LTE Cat-1bis + GNSS modem</t>
        </is>
      </c>
      <c r="E10" s="12" t="inlineStr">
        <is>
          <t>Quectel EC200UCNAA-N05-SGNSA</t>
        </is>
      </c>
      <c r="F10" s="12" t="inlineStr">
        <is>
          <t>C2916205</t>
        </is>
      </c>
      <c r="G10" s="12" t="inlineStr">
        <is>
          <t>U1</t>
        </is>
      </c>
      <c r="H10" s="12" t="n">
        <v>1</v>
      </c>
      <c r="I10" s="12">
        <f>$C$5</f>
        <v/>
      </c>
      <c r="J10" s="12">
        <f>H10*$C$3+I10</f>
        <v/>
      </c>
      <c r="K10" s="13" t="n">
        <v>9.91</v>
      </c>
      <c r="L10" s="14">
        <f>IF(K10="","",K10*$C$4)</f>
        <v/>
      </c>
      <c r="M10" s="15" t="n"/>
      <c r="N10" s="15" t="n"/>
      <c r="O10" s="15" t="n"/>
      <c r="P10" s="14">
        <f>IF(COUNT(M10:O10)=0,"",MIN(M10:O10))</f>
        <v/>
      </c>
      <c r="Q10" s="12">
        <f>IF(P10="","",INDEX($M$8:$O$8,MATCH(P10,M10:O10,0)))</f>
        <v/>
      </c>
      <c r="R10" s="14">
        <f>IF(P10="","",P10*J10)</f>
        <v/>
      </c>
      <c r="S10" s="16">
        <f>IF(OR(P10="",L10=""),"",P10/L10-1)</f>
        <v/>
      </c>
      <c r="T10" s="17" t="inlineStr">
        <is>
          <t>Exact part only</t>
        </is>
      </c>
      <c r="U10" s="12" t="inlineStr">
        <is>
          <t>Buy from Quectel distributor only. Grey-market modules often have wrong firmware/region. Variant must be -N05-SGNSA (GNSS).</t>
        </is>
      </c>
    </row>
    <row r="11">
      <c r="A11" s="12" t="n">
        <v>2</v>
      </c>
      <c r="B11" s="12" t="inlineStr">
        <is>
          <t>AT32F403ACGT7</t>
        </is>
      </c>
      <c r="C11" s="12" t="inlineStr">
        <is>
          <t>LQFP-48</t>
        </is>
      </c>
      <c r="D11" s="12" t="inlineStr">
        <is>
          <t>MCU Cortex-M4 240 MHz, LQFP-48</t>
        </is>
      </c>
      <c r="E11" s="12" t="inlineStr">
        <is>
          <t>Artery AT32F403ACGT7</t>
        </is>
      </c>
      <c r="F11" s="12" t="inlineStr">
        <is>
          <t>C55058656</t>
        </is>
      </c>
      <c r="G11" s="12" t="inlineStr">
        <is>
          <t>U2</t>
        </is>
      </c>
      <c r="H11" s="12" t="n">
        <v>1</v>
      </c>
      <c r="I11" s="12">
        <f>$C$5</f>
        <v/>
      </c>
      <c r="J11" s="12">
        <f>H11*$C$3+I11</f>
        <v/>
      </c>
      <c r="K11" s="13" t="n">
        <v>1.69</v>
      </c>
      <c r="L11" s="14">
        <f>IF(K11="","",K11*$C$4)</f>
        <v/>
      </c>
      <c r="M11" s="15" t="n"/>
      <c r="N11" s="15" t="n"/>
      <c r="O11" s="15" t="n"/>
      <c r="P11" s="14">
        <f>IF(COUNT(M11:O11)=0,"",MIN(M11:O11))</f>
        <v/>
      </c>
      <c r="Q11" s="12">
        <f>IF(P11="","",INDEX($M$8:$O$8,MATCH(P11,M11:O11,0)))</f>
        <v/>
      </c>
      <c r="R11" s="14">
        <f>IF(P11="","",P11*J11)</f>
        <v/>
      </c>
      <c r="S11" s="16">
        <f>IF(OR(P11="",L11=""),"",P11/L11-1)</f>
        <v/>
      </c>
      <c r="T11" s="17" t="inlineStr">
        <is>
          <t>Exact part only</t>
        </is>
      </c>
      <c r="U11" s="12" t="inlineStr">
        <is>
          <t>Firmware is written for this exact chip. Do not swap to STM32F103 even if pin-compatible.</t>
        </is>
      </c>
    </row>
    <row r="12">
      <c r="A12" s="12" t="n">
        <v>3</v>
      </c>
      <c r="B12" s="12" t="inlineStr">
        <is>
          <t>QMI8658B</t>
        </is>
      </c>
      <c r="C12" s="12" t="inlineStr">
        <is>
          <t>LGA-14</t>
        </is>
      </c>
      <c r="D12" s="12" t="inlineStr">
        <is>
          <t>6-axis IMU, I2C, LGA-14 3.0x2.5</t>
        </is>
      </c>
      <c r="E12" s="12" t="inlineStr">
        <is>
          <t>QST QMI8658B</t>
        </is>
      </c>
      <c r="F12" s="12" t="inlineStr">
        <is>
          <t>C5380158</t>
        </is>
      </c>
      <c r="G12" s="12" t="inlineStr">
        <is>
          <t>U3</t>
        </is>
      </c>
      <c r="H12" s="12" t="n">
        <v>1</v>
      </c>
      <c r="I12" s="12">
        <f>$C$5</f>
        <v/>
      </c>
      <c r="J12" s="12">
        <f>H12*$C$3+I12</f>
        <v/>
      </c>
      <c r="K12" s="13" t="n">
        <v>0.8</v>
      </c>
      <c r="L12" s="14">
        <f>IF(K12="","",K12*$C$4)</f>
        <v/>
      </c>
      <c r="M12" s="15" t="n"/>
      <c r="N12" s="15" t="n"/>
      <c r="O12" s="15" t="n"/>
      <c r="P12" s="14">
        <f>IF(COUNT(M12:O12)=0,"",MIN(M12:O12))</f>
        <v/>
      </c>
      <c r="Q12" s="12">
        <f>IF(P12="","",INDEX($M$8:$O$8,MATCH(P12,M12:O12,0)))</f>
        <v/>
      </c>
      <c r="R12" s="14">
        <f>IF(P12="","",P12*J12)</f>
        <v/>
      </c>
      <c r="S12" s="16">
        <f>IF(OR(P12="",L12=""),"",P12/L12-1)</f>
        <v/>
      </c>
      <c r="T12" s="17" t="inlineStr">
        <is>
          <t>Exact part only</t>
        </is>
      </c>
      <c r="U12" s="12" t="inlineStr">
        <is>
          <t>LGA part. Needs reflow/hot-air, not hand iron.</t>
        </is>
      </c>
    </row>
    <row r="13">
      <c r="A13" s="12" t="n">
        <v>4</v>
      </c>
      <c r="B13" s="12" t="inlineStr">
        <is>
          <t>SIT1051AT/3</t>
        </is>
      </c>
      <c r="C13" s="12" t="inlineStr">
        <is>
          <t>SOP-8</t>
        </is>
      </c>
      <c r="D13" s="12" t="inlineStr">
        <is>
          <t>CAN-FD transceiver, 3.3 V VIO, SOP-8</t>
        </is>
      </c>
      <c r="E13" s="12" t="inlineStr">
        <is>
          <t>SIT SIT1051AT/3</t>
        </is>
      </c>
      <c r="F13" s="12" t="inlineStr">
        <is>
          <t>C5382551</t>
        </is>
      </c>
      <c r="G13" s="12" t="inlineStr">
        <is>
          <t>U4</t>
        </is>
      </c>
      <c r="H13" s="12" t="n">
        <v>1</v>
      </c>
      <c r="I13" s="12">
        <f>$C$5</f>
        <v/>
      </c>
      <c r="J13" s="12">
        <f>H13*$C$3+I13</f>
        <v/>
      </c>
      <c r="K13" s="13" t="n">
        <v>0.3</v>
      </c>
      <c r="L13" s="14">
        <f>IF(K13="","",K13*$C$4)</f>
        <v/>
      </c>
      <c r="M13" s="15" t="n"/>
      <c r="N13" s="15" t="n"/>
      <c r="O13" s="15" t="n"/>
      <c r="P13" s="14">
        <f>IF(COUNT(M13:O13)=0,"",MIN(M13:O13))</f>
        <v/>
      </c>
      <c r="Q13" s="12">
        <f>IF(P13="","",INDEX($M$8:$O$8,MATCH(P13,M13:O13,0)))</f>
        <v/>
      </c>
      <c r="R13" s="14">
        <f>IF(P13="","",P13*J13)</f>
        <v/>
      </c>
      <c r="S13" s="16">
        <f>IF(OR(P13="",L13=""),"",P13/L13-1)</f>
        <v/>
      </c>
      <c r="T13" s="12" t="inlineStr">
        <is>
          <t>Equivalent OK (match key specs)</t>
        </is>
      </c>
      <c r="U13" s="12" t="inlineStr">
        <is>
          <t>Pin-compatible equivalents: TJA1051T/3, TCAN1051HV. Must be the /3 (VIO pin) version.</t>
        </is>
      </c>
    </row>
    <row r="14">
      <c r="A14" s="12" t="n">
        <v>5</v>
      </c>
      <c r="B14" s="12" t="inlineStr">
        <is>
          <t>EG11752</t>
        </is>
      </c>
      <c r="C14" s="12" t="inlineStr">
        <is>
          <t>SOIC-8</t>
        </is>
      </c>
      <c r="D14" s="12" t="inlineStr">
        <is>
          <t>200 V buck regulator to 5V0, SOIC-8 EP</t>
        </is>
      </c>
      <c r="E14" s="12" t="inlineStr">
        <is>
          <t>EG Micro EG11752</t>
        </is>
      </c>
      <c r="F14" s="12" t="inlineStr">
        <is>
          <t>C53368402</t>
        </is>
      </c>
      <c r="G14" s="12" t="inlineStr">
        <is>
          <t>U5</t>
        </is>
      </c>
      <c r="H14" s="12" t="n">
        <v>1</v>
      </c>
      <c r="I14" s="12">
        <f>$C$5</f>
        <v/>
      </c>
      <c r="J14" s="12">
        <f>H14*$C$3+I14</f>
        <v/>
      </c>
      <c r="K14" s="18" t="n"/>
      <c r="L14" s="14">
        <f>IF(K14="","",K14*$C$4)</f>
        <v/>
      </c>
      <c r="M14" s="15" t="n"/>
      <c r="N14" s="15" t="n"/>
      <c r="O14" s="15" t="n"/>
      <c r="P14" s="14">
        <f>IF(COUNT(M14:O14)=0,"",MIN(M14:O14))</f>
        <v/>
      </c>
      <c r="Q14" s="12">
        <f>IF(P14="","",INDEX($M$8:$O$8,MATCH(P14,M14:O14,0)))</f>
        <v/>
      </c>
      <c r="R14" s="14">
        <f>IF(P14="","",P14*J14)</f>
        <v/>
      </c>
      <c r="S14" s="16">
        <f>IF(OR(P14="",L14=""),"",P14/L14-1)</f>
        <v/>
      </c>
      <c r="T14" s="17" t="inlineStr">
        <is>
          <t>Exact part only</t>
        </is>
      </c>
      <c r="U14" s="12" t="inlineStr">
        <is>
          <t>Only 200 V-rated part that passed the design rule (design log 2026-09-02). Not a common local part. Plan to buy from LCSC.</t>
        </is>
      </c>
    </row>
    <row r="15">
      <c r="A15" s="12" t="n">
        <v>6</v>
      </c>
      <c r="B15" s="12" t="inlineStr">
        <is>
          <t>BQ25606RGER</t>
        </is>
      </c>
      <c r="C15" s="12" t="inlineStr">
        <is>
          <t>VQFN-24</t>
        </is>
      </c>
      <c r="D15" s="12" t="inlineStr">
        <is>
          <t>1S Li-ion charger + power path, VQFN-24 4x4</t>
        </is>
      </c>
      <c r="E15" s="12" t="inlineStr">
        <is>
          <t>TI BQ25606RGER</t>
        </is>
      </c>
      <c r="F15" s="12" t="inlineStr">
        <is>
          <t>C374063</t>
        </is>
      </c>
      <c r="G15" s="12" t="inlineStr">
        <is>
          <t>U6</t>
        </is>
      </c>
      <c r="H15" s="12" t="n">
        <v>1</v>
      </c>
      <c r="I15" s="12">
        <f>$C$5</f>
        <v/>
      </c>
      <c r="J15" s="12">
        <f>H15*$C$3+I15</f>
        <v/>
      </c>
      <c r="K15" s="13" t="n">
        <v>1.62</v>
      </c>
      <c r="L15" s="14">
        <f>IF(K15="","",K15*$C$4)</f>
        <v/>
      </c>
      <c r="M15" s="15" t="n"/>
      <c r="N15" s="15" t="n"/>
      <c r="O15" s="15" t="n"/>
      <c r="P15" s="14">
        <f>IF(COUNT(M15:O15)=0,"",MIN(M15:O15))</f>
        <v/>
      </c>
      <c r="Q15" s="12">
        <f>IF(P15="","",INDEX($M$8:$O$8,MATCH(P15,M15:O15,0)))</f>
        <v/>
      </c>
      <c r="R15" s="14">
        <f>IF(P15="","",P15*J15)</f>
        <v/>
      </c>
      <c r="S15" s="16">
        <f>IF(OR(P15="",L15=""),"",P15/L15-1)</f>
        <v/>
      </c>
      <c r="T15" s="17" t="inlineStr">
        <is>
          <t>Exact part only</t>
        </is>
      </c>
      <c r="U15" s="12" t="inlineStr">
        <is>
          <t>Genuine TI only. Counterfeits are common in local markets.</t>
        </is>
      </c>
    </row>
    <row r="16">
      <c r="A16" s="12" t="n">
        <v>7</v>
      </c>
      <c r="B16" s="12" t="inlineStr">
        <is>
          <t>GD25Q64ESIGR</t>
        </is>
      </c>
      <c r="C16" s="12" t="inlineStr">
        <is>
          <t>SOP-8</t>
        </is>
      </c>
      <c r="D16" s="12" t="inlineStr">
        <is>
          <t>64 Mbit (8 MB) SPI NOR flash, SOP-8 208mil</t>
        </is>
      </c>
      <c r="E16" s="12" t="inlineStr">
        <is>
          <t>GigaDevice GD25Q64ESIGR</t>
        </is>
      </c>
      <c r="F16" s="12" t="inlineStr">
        <is>
          <t>C2831359</t>
        </is>
      </c>
      <c r="G16" s="12" t="inlineStr">
        <is>
          <t>U7</t>
        </is>
      </c>
      <c r="H16" s="12" t="n">
        <v>1</v>
      </c>
      <c r="I16" s="12">
        <f>$C$5</f>
        <v/>
      </c>
      <c r="J16" s="12">
        <f>H16*$C$3+I16</f>
        <v/>
      </c>
      <c r="K16" s="13" t="n">
        <v>0.492</v>
      </c>
      <c r="L16" s="14">
        <f>IF(K16="","",K16*$C$4)</f>
        <v/>
      </c>
      <c r="M16" s="15" t="n"/>
      <c r="N16" s="15" t="n"/>
      <c r="O16" s="15" t="n"/>
      <c r="P16" s="14">
        <f>IF(COUNT(M16:O16)=0,"",MIN(M16:O16))</f>
        <v/>
      </c>
      <c r="Q16" s="12">
        <f>IF(P16="","",INDEX($M$8:$O$8,MATCH(P16,M16:O16,0)))</f>
        <v/>
      </c>
      <c r="R16" s="14">
        <f>IF(P16="","",P16*J16)</f>
        <v/>
      </c>
      <c r="S16" s="16">
        <f>IF(OR(P16="",L16=""),"",P16/L16-1)</f>
        <v/>
      </c>
      <c r="T16" s="12" t="inlineStr">
        <is>
          <t>Equivalent OK (match key specs)</t>
        </is>
      </c>
      <c r="U16" s="12" t="inlineStr">
        <is>
          <t>W25Q64JVSSIQ (Winbond) is an approved equivalent. Must be 208-mil SOP-8 body, not 150-mil SOIC.</t>
        </is>
      </c>
    </row>
    <row r="17">
      <c r="A17" s="12" t="n">
        <v>8</v>
      </c>
      <c r="B17" s="12" t="inlineStr">
        <is>
          <t>TXB0104PWR</t>
        </is>
      </c>
      <c r="C17" s="12" t="inlineStr">
        <is>
          <t>TSSOP-14</t>
        </is>
      </c>
      <c r="D17" s="12" t="inlineStr">
        <is>
          <t>4-ch auto-direction level shifter, TSSOP-14</t>
        </is>
      </c>
      <c r="E17" s="12" t="inlineStr">
        <is>
          <t>TI TXB0104PWR</t>
        </is>
      </c>
      <c r="F17" s="12" t="inlineStr">
        <is>
          <t>C60708</t>
        </is>
      </c>
      <c r="G17" s="12" t="inlineStr">
        <is>
          <t>U8</t>
        </is>
      </c>
      <c r="H17" s="12" t="n">
        <v>1</v>
      </c>
      <c r="I17" s="12">
        <f>$C$5</f>
        <v/>
      </c>
      <c r="J17" s="12">
        <f>H17*$C$3+I17</f>
        <v/>
      </c>
      <c r="K17" s="13" t="n">
        <v>0.3</v>
      </c>
      <c r="L17" s="14">
        <f>IF(K17="","",K17*$C$4)</f>
        <v/>
      </c>
      <c r="M17" s="15" t="n"/>
      <c r="N17" s="15" t="n"/>
      <c r="O17" s="15" t="n"/>
      <c r="P17" s="14">
        <f>IF(COUNT(M17:O17)=0,"",MIN(M17:O17))</f>
        <v/>
      </c>
      <c r="Q17" s="12">
        <f>IF(P17="","",INDEX($M$8:$O$8,MATCH(P17,M17:O17,0)))</f>
        <v/>
      </c>
      <c r="R17" s="14">
        <f>IF(P17="","",P17*J17)</f>
        <v/>
      </c>
      <c r="S17" s="16">
        <f>IF(OR(P17="",L17=""),"",P17/L17-1)</f>
        <v/>
      </c>
      <c r="T17" s="17" t="inlineStr">
        <is>
          <t>Exact part only</t>
        </is>
      </c>
      <c r="U17" s="12" t="inlineStr">
        <is>
          <t>TSSOP-14 package specifically. Not the SOIC or QFN version.</t>
        </is>
      </c>
    </row>
    <row r="18">
      <c r="A18" s="12" t="n">
        <v>9</v>
      </c>
      <c r="B18" s="12" t="inlineStr">
        <is>
          <t>ME6211C33M5G</t>
        </is>
      </c>
      <c r="C18" s="12" t="inlineStr">
        <is>
          <t>SOT-23-5</t>
        </is>
      </c>
      <c r="D18" s="12" t="inlineStr">
        <is>
          <t>3.3 V LDO 500 mA, SOT-23-5</t>
        </is>
      </c>
      <c r="E18" s="12" t="inlineStr">
        <is>
          <t>MICRONE ME6211C33M5G</t>
        </is>
      </c>
      <c r="F18" s="12" t="inlineStr">
        <is>
          <t>C82942</t>
        </is>
      </c>
      <c r="G18" s="12" t="inlineStr">
        <is>
          <t>U9</t>
        </is>
      </c>
      <c r="H18" s="12" t="n">
        <v>1</v>
      </c>
      <c r="I18" s="12">
        <f>$C$5</f>
        <v/>
      </c>
      <c r="J18" s="12">
        <f>H18*$C$3+I18</f>
        <v/>
      </c>
      <c r="K18" s="13" t="n">
        <v>0.15</v>
      </c>
      <c r="L18" s="14">
        <f>IF(K18="","",K18*$C$4)</f>
        <v/>
      </c>
      <c r="M18" s="15" t="n"/>
      <c r="N18" s="15" t="n"/>
      <c r="O18" s="15" t="n"/>
      <c r="P18" s="14">
        <f>IF(COUNT(M18:O18)=0,"",MIN(M18:O18))</f>
        <v/>
      </c>
      <c r="Q18" s="12">
        <f>IF(P18="","",INDEX($M$8:$O$8,MATCH(P18,M18:O18,0)))</f>
        <v/>
      </c>
      <c r="R18" s="14">
        <f>IF(P18="","",P18*J18)</f>
        <v/>
      </c>
      <c r="S18" s="16">
        <f>IF(OR(P18="",L18=""),"",P18/L18-1)</f>
        <v/>
      </c>
      <c r="T18" s="12" t="inlineStr">
        <is>
          <t>Equivalent OK (match key specs)</t>
        </is>
      </c>
      <c r="U18" s="12" t="inlineStr">
        <is>
          <t>Pin-compatible: XC6220/ME6217 class. Check pinout: 1=VIN 2=GND 3=EN 4=NC 5=VOUT.</t>
        </is>
      </c>
    </row>
    <row r="19">
      <c r="A19" s="10" t="inlineStr">
        <is>
          <t>Discretes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A20" s="12" t="n">
        <v>10</v>
      </c>
      <c r="B20" s="12" t="inlineStr">
        <is>
          <t>S3M</t>
        </is>
      </c>
      <c r="C20" s="12" t="inlineStr">
        <is>
          <t>SMB</t>
        </is>
      </c>
      <c r="D20" s="12" t="inlineStr">
        <is>
          <t>Rectifier 1000 V 3 A, SMB</t>
        </is>
      </c>
      <c r="E20" s="12" t="inlineStr">
        <is>
          <t>TWGMC S3M (SMB body)</t>
        </is>
      </c>
      <c r="F20" s="12" t="inlineStr">
        <is>
          <t>C5204901</t>
        </is>
      </c>
      <c r="G20" s="12" t="inlineStr">
        <is>
          <t>D1</t>
        </is>
      </c>
      <c r="H20" s="12" t="n">
        <v>1</v>
      </c>
      <c r="I20" s="12">
        <f>$C$5</f>
        <v/>
      </c>
      <c r="J20" s="12">
        <f>H20*$C$3+I20</f>
        <v/>
      </c>
      <c r="K20" s="13" t="n">
        <v>0.05</v>
      </c>
      <c r="L20" s="14">
        <f>IF(K20="","",K20*$C$4)</f>
        <v/>
      </c>
      <c r="M20" s="15" t="n"/>
      <c r="N20" s="15" t="n"/>
      <c r="O20" s="15" t="n"/>
      <c r="P20" s="14">
        <f>IF(COUNT(M20:O20)=0,"",MIN(M20:O20))</f>
        <v/>
      </c>
      <c r="Q20" s="12">
        <f>IF(P20="","",INDEX($M$8:$O$8,MATCH(P20,M20:O20,0)))</f>
        <v/>
      </c>
      <c r="R20" s="14">
        <f>IF(P20="","",P20*J20)</f>
        <v/>
      </c>
      <c r="S20" s="16">
        <f>IF(OR(P20="",L20=""),"",P20/L20-1)</f>
        <v/>
      </c>
      <c r="T20" s="12" t="inlineStr">
        <is>
          <t>Equivalent OK (match key specs)</t>
        </is>
      </c>
      <c r="U20" s="12" t="inlineStr">
        <is>
          <t>Footprint is SMB. Most local S3M stock is SMC (DO-214AB), which will not fit. Ask for SMB / DO-214AA.</t>
        </is>
      </c>
    </row>
    <row r="21">
      <c r="A21" s="12" t="n">
        <v>11</v>
      </c>
      <c r="B21" s="19" t="inlineStr">
        <is>
          <t>LED</t>
        </is>
      </c>
      <c r="C21" s="12" t="inlineStr">
        <is>
          <t>0603</t>
        </is>
      </c>
      <c r="D21" s="12" t="inlineStr">
        <is>
          <t>LED 0603 (status)</t>
        </is>
      </c>
      <c r="E21" s="12" t="inlineStr">
        <is>
          <t>LCSC C2286 on all three</t>
        </is>
      </c>
      <c r="F21" s="12" t="inlineStr">
        <is>
          <t>C2286</t>
        </is>
      </c>
      <c r="G21" s="12" t="inlineStr">
        <is>
          <t>D13, D20, D21</t>
        </is>
      </c>
      <c r="H21" s="12" t="n">
        <v>3</v>
      </c>
      <c r="I21" s="12">
        <f>$C$5</f>
        <v/>
      </c>
      <c r="J21" s="12">
        <f>H21*$C$3+I21</f>
        <v/>
      </c>
      <c r="K21" s="18" t="n"/>
      <c r="L21" s="14">
        <f>IF(K21="","",K21*$C$4)</f>
        <v/>
      </c>
      <c r="M21" s="15" t="n"/>
      <c r="N21" s="15" t="n"/>
      <c r="O21" s="15" t="n"/>
      <c r="P21" s="14">
        <f>IF(COUNT(M21:O21)=0,"",MIN(M21:O21))</f>
        <v/>
      </c>
      <c r="Q21" s="12">
        <f>IF(P21="","",INDEX($M$8:$O$8,MATCH(P21,M21:O21,0)))</f>
        <v/>
      </c>
      <c r="R21" s="14">
        <f>IF(P21="","",P21*J21)</f>
        <v/>
      </c>
      <c r="S21" s="16">
        <f>IF(OR(P21="",L21=""),"",P21/L21-1)</f>
        <v/>
      </c>
      <c r="T21" s="12" t="inlineStr">
        <is>
          <t>Generic OK</t>
        </is>
      </c>
      <c r="U21" s="19" t="inlineStr">
        <is>
          <t>D20 is labelled GRN, D21 BLU, D13 NET, but all carry the same LCSC number. Decide colours before buying.</t>
        </is>
      </c>
    </row>
    <row r="22">
      <c r="A22" s="12" t="n">
        <v>12</v>
      </c>
      <c r="B22" s="12" t="inlineStr">
        <is>
          <t>BAV99</t>
        </is>
      </c>
      <c r="C22" s="12" t="inlineStr">
        <is>
          <t>SOT-23</t>
        </is>
      </c>
      <c r="D22" s="12" t="inlineStr">
        <is>
          <t>Dual series switching diode, SOT-23</t>
        </is>
      </c>
      <c r="E22" s="12" t="inlineStr">
        <is>
          <t>Nexperia BAV99,215 (marking A7)</t>
        </is>
      </c>
      <c r="F22" s="12" t="inlineStr">
        <is>
          <t>C2500</t>
        </is>
      </c>
      <c r="G22" s="12" t="inlineStr">
        <is>
          <t>D5, D6, D10, D11</t>
        </is>
      </c>
      <c r="H22" s="12" t="n">
        <v>4</v>
      </c>
      <c r="I22" s="12">
        <f>$C$5</f>
        <v/>
      </c>
      <c r="J22" s="12">
        <f>H22*$C$3+I22</f>
        <v/>
      </c>
      <c r="K22" s="13" t="n">
        <v>0.01</v>
      </c>
      <c r="L22" s="14">
        <f>IF(K22="","",K22*$C$4)</f>
        <v/>
      </c>
      <c r="M22" s="15" t="n"/>
      <c r="N22" s="15" t="n"/>
      <c r="O22" s="15" t="n"/>
      <c r="P22" s="14">
        <f>IF(COUNT(M22:O22)=0,"",MIN(M22:O22))</f>
        <v/>
      </c>
      <c r="Q22" s="12">
        <f>IF(P22="","",INDEX($M$8:$O$8,MATCH(P22,M22:O22,0)))</f>
        <v/>
      </c>
      <c r="R22" s="14">
        <f>IF(P22="","",P22*J22)</f>
        <v/>
      </c>
      <c r="S22" s="16">
        <f>IF(OR(P22="",L22=""),"",P22/L22-1)</f>
        <v/>
      </c>
      <c r="T22" s="12" t="inlineStr">
        <is>
          <t>Generic OK</t>
        </is>
      </c>
      <c r="U22" s="12" t="inlineStr"/>
    </row>
    <row r="23">
      <c r="A23" s="12" t="n">
        <v>13</v>
      </c>
      <c r="B23" s="12" t="inlineStr">
        <is>
          <t>SS3200</t>
        </is>
      </c>
      <c r="C23" s="12" t="inlineStr">
        <is>
          <t>SMA (DO-214AC)</t>
        </is>
      </c>
      <c r="D23" s="12" t="inlineStr">
        <is>
          <t>Schottky 200 V 3 A, SMA</t>
        </is>
      </c>
      <c r="E23" s="12" t="inlineStr">
        <is>
          <t>MDD SS3200</t>
        </is>
      </c>
      <c r="F23" s="12" t="inlineStr">
        <is>
          <t>C65001</t>
        </is>
      </c>
      <c r="G23" s="12" t="inlineStr">
        <is>
          <t>D7, D8, D16</t>
        </is>
      </c>
      <c r="H23" s="12" t="n">
        <v>3</v>
      </c>
      <c r="I23" s="12">
        <f>$C$5</f>
        <v/>
      </c>
      <c r="J23" s="12">
        <f>H23*$C$3+I23</f>
        <v/>
      </c>
      <c r="K23" s="18" t="n"/>
      <c r="L23" s="14">
        <f>IF(K23="","",K23*$C$4)</f>
        <v/>
      </c>
      <c r="M23" s="15" t="n"/>
      <c r="N23" s="15" t="n"/>
      <c r="O23" s="15" t="n"/>
      <c r="P23" s="14">
        <f>IF(COUNT(M23:O23)=0,"",MIN(M23:O23))</f>
        <v/>
      </c>
      <c r="Q23" s="12">
        <f>IF(P23="","",INDEX($M$8:$O$8,MATCH(P23,M23:O23,0)))</f>
        <v/>
      </c>
      <c r="R23" s="14">
        <f>IF(P23="","",P23*J23)</f>
        <v/>
      </c>
      <c r="S23" s="16">
        <f>IF(OR(P23="",L23=""),"",P23/L23-1)</f>
        <v/>
      </c>
      <c r="T23" s="12" t="inlineStr">
        <is>
          <t>Equivalent OK (match key specs)</t>
        </is>
      </c>
      <c r="U23" s="12" t="inlineStr">
        <is>
          <t>200 V rating is required. SS34 / SS310 are NOT OK.</t>
        </is>
      </c>
    </row>
    <row r="24">
      <c r="A24" s="12" t="n">
        <v>14</v>
      </c>
      <c r="B24" s="12" t="inlineStr">
        <is>
          <t>EL357N(D)</t>
        </is>
      </c>
      <c r="C24" s="12" t="inlineStr">
        <is>
          <t>OPTO-SMD-4</t>
        </is>
      </c>
      <c r="D24" s="12" t="inlineStr">
        <is>
          <t>Optocoupler, CTR (D) bin 300-600%, SOP-4</t>
        </is>
      </c>
      <c r="E24" s="12" t="inlineStr">
        <is>
          <t>Everlight EL357N(D)</t>
        </is>
      </c>
      <c r="F24" s="12" t="inlineStr">
        <is>
          <t>C359074</t>
        </is>
      </c>
      <c r="G24" s="12" t="inlineStr">
        <is>
          <t>OK1, OK2</t>
        </is>
      </c>
      <c r="H24" s="12" t="n">
        <v>2</v>
      </c>
      <c r="I24" s="12">
        <f>$C$5</f>
        <v/>
      </c>
      <c r="J24" s="12">
        <f>H24*$C$3+I24</f>
        <v/>
      </c>
      <c r="K24" s="13" t="n">
        <v>0.06</v>
      </c>
      <c r="L24" s="14">
        <f>IF(K24="","",K24*$C$4)</f>
        <v/>
      </c>
      <c r="M24" s="15" t="n"/>
      <c r="N24" s="15" t="n"/>
      <c r="O24" s="15" t="n"/>
      <c r="P24" s="14">
        <f>IF(COUNT(M24:O24)=0,"",MIN(M24:O24))</f>
        <v/>
      </c>
      <c r="Q24" s="12">
        <f>IF(P24="","",INDEX($M$8:$O$8,MATCH(P24,M24:O24,0)))</f>
        <v/>
      </c>
      <c r="R24" s="14">
        <f>IF(P24="","",P24*J24)</f>
        <v/>
      </c>
      <c r="S24" s="16">
        <f>IF(OR(P24="",L24=""),"",P24/L24-1)</f>
        <v/>
      </c>
      <c r="T24" s="12" t="inlineStr">
        <is>
          <t>Equivalent OK (match key specs)</t>
        </is>
      </c>
      <c r="U24" s="12" t="inlineStr">
        <is>
          <t>Must be the (D) high-CTR bin. A plain EL357N may not switch at low input voltage.</t>
        </is>
      </c>
    </row>
    <row r="25">
      <c r="A25" s="12" t="n">
        <v>15</v>
      </c>
      <c r="B25" s="12" t="inlineStr">
        <is>
          <t>AM2390N-TP</t>
        </is>
      </c>
      <c r="C25" s="12" t="inlineStr">
        <is>
          <t>SOT-23-3</t>
        </is>
      </c>
      <c r="D25" s="12" t="inlineStr">
        <is>
          <t>N-MOSFET 150 V 4 A, logic-level, SOT-23</t>
        </is>
      </c>
      <c r="E25" s="12" t="inlineStr">
        <is>
          <t>AM2390N-TP</t>
        </is>
      </c>
      <c r="F25" s="12" t="inlineStr">
        <is>
          <t>C51886143</t>
        </is>
      </c>
      <c r="G25" s="12" t="inlineStr">
        <is>
          <t>Q1, Q2</t>
        </is>
      </c>
      <c r="H25" s="12" t="n">
        <v>2</v>
      </c>
      <c r="I25" s="12">
        <f>$C$5</f>
        <v/>
      </c>
      <c r="J25" s="12">
        <f>H25*$C$3+I25</f>
        <v/>
      </c>
      <c r="K25" s="13" t="n">
        <v>0.08400000000000001</v>
      </c>
      <c r="L25" s="14">
        <f>IF(K25="","",K25*$C$4)</f>
        <v/>
      </c>
      <c r="M25" s="15" t="n"/>
      <c r="N25" s="15" t="n"/>
      <c r="O25" s="15" t="n"/>
      <c r="P25" s="14">
        <f>IF(COUNT(M25:O25)=0,"",MIN(M25:O25))</f>
        <v/>
      </c>
      <c r="Q25" s="12">
        <f>IF(P25="","",INDEX($M$8:$O$8,MATCH(P25,M25:O25,0)))</f>
        <v/>
      </c>
      <c r="R25" s="14">
        <f>IF(P25="","",P25*J25)</f>
        <v/>
      </c>
      <c r="S25" s="16">
        <f>IF(OR(P25="",L25=""),"",P25/L25-1)</f>
        <v/>
      </c>
      <c r="T25" s="12" t="inlineStr">
        <is>
          <t>Equivalent OK (match key specs)</t>
        </is>
      </c>
      <c r="U25" s="12" t="inlineStr">
        <is>
          <t>Needs VDS≥100 V, ID≥1 A, Vgs(th)≤2.5 V, RDS spec'd at 4.5 V. AO3400 is NOT OK (30 V only).</t>
        </is>
      </c>
    </row>
    <row r="26">
      <c r="A26" s="12" t="n">
        <v>16</v>
      </c>
      <c r="B26" s="12" t="inlineStr">
        <is>
          <t>MMBT3906</t>
        </is>
      </c>
      <c r="C26" s="12" t="inlineStr">
        <is>
          <t>SOT-23</t>
        </is>
      </c>
      <c r="D26" s="12" t="inlineStr">
        <is>
          <t>PNP small-signal, SOT-23</t>
        </is>
      </c>
      <c r="E26" s="12" t="inlineStr">
        <is>
          <t>Nexperia MMBT3906,215 (marking 2A)</t>
        </is>
      </c>
      <c r="F26" s="12" t="inlineStr">
        <is>
          <t>C75549</t>
        </is>
      </c>
      <c r="G26" s="12" t="inlineStr">
        <is>
          <t>Q13</t>
        </is>
      </c>
      <c r="H26" s="12" t="n">
        <v>1</v>
      </c>
      <c r="I26" s="12">
        <f>$C$5</f>
        <v/>
      </c>
      <c r="J26" s="12">
        <f>H26*$C$3+I26</f>
        <v/>
      </c>
      <c r="K26" s="18" t="n"/>
      <c r="L26" s="14">
        <f>IF(K26="","",K26*$C$4)</f>
        <v/>
      </c>
      <c r="M26" s="15" t="n"/>
      <c r="N26" s="15" t="n"/>
      <c r="O26" s="15" t="n"/>
      <c r="P26" s="14">
        <f>IF(COUNT(M26:O26)=0,"",MIN(M26:O26))</f>
        <v/>
      </c>
      <c r="Q26" s="12">
        <f>IF(P26="","",INDEX($M$8:$O$8,MATCH(P26,M26:O26,0)))</f>
        <v/>
      </c>
      <c r="R26" s="14">
        <f>IF(P26="","",P26*J26)</f>
        <v/>
      </c>
      <c r="S26" s="16">
        <f>IF(OR(P26="",L26=""),"",P26/L26-1)</f>
        <v/>
      </c>
      <c r="T26" s="12" t="inlineStr">
        <is>
          <t>Generic OK</t>
        </is>
      </c>
      <c r="U26" s="12" t="inlineStr">
        <is>
          <t>Very common locally.</t>
        </is>
      </c>
    </row>
    <row r="27">
      <c r="A27" s="12" t="n">
        <v>17</v>
      </c>
      <c r="B27" s="12" t="inlineStr">
        <is>
          <t>AO3401A</t>
        </is>
      </c>
      <c r="C27" s="12" t="inlineStr">
        <is>
          <t>SOT-23-3</t>
        </is>
      </c>
      <c r="D27" s="12" t="inlineStr">
        <is>
          <t>P-MOSFET -30 V 4 A, SOT-23</t>
        </is>
      </c>
      <c r="E27" s="12" t="inlineStr">
        <is>
          <t>AOS AO3401A</t>
        </is>
      </c>
      <c r="F27" s="12" t="inlineStr">
        <is>
          <t>C15127</t>
        </is>
      </c>
      <c r="G27" s="12" t="inlineStr">
        <is>
          <t>Q3</t>
        </is>
      </c>
      <c r="H27" s="12" t="n">
        <v>1</v>
      </c>
      <c r="I27" s="12">
        <f>$C$5</f>
        <v/>
      </c>
      <c r="J27" s="12">
        <f>H27*$C$3+I27</f>
        <v/>
      </c>
      <c r="K27" s="13" t="n">
        <v>0.05</v>
      </c>
      <c r="L27" s="14">
        <f>IF(K27="","",K27*$C$4)</f>
        <v/>
      </c>
      <c r="M27" s="15" t="n"/>
      <c r="N27" s="15" t="n"/>
      <c r="O27" s="15" t="n"/>
      <c r="P27" s="14">
        <f>IF(COUNT(M27:O27)=0,"",MIN(M27:O27))</f>
        <v/>
      </c>
      <c r="Q27" s="12">
        <f>IF(P27="","",INDEX($M$8:$O$8,MATCH(P27,M27:O27,0)))</f>
        <v/>
      </c>
      <c r="R27" s="14">
        <f>IF(P27="","",P27*J27)</f>
        <v/>
      </c>
      <c r="S27" s="16">
        <f>IF(OR(P27="",L27=""),"",P27/L27-1)</f>
        <v/>
      </c>
      <c r="T27" s="12" t="inlineStr">
        <is>
          <t>Generic OK</t>
        </is>
      </c>
      <c r="U27" s="12" t="inlineStr">
        <is>
          <t>Very common locally.</t>
        </is>
      </c>
    </row>
    <row r="28">
      <c r="A28" s="12" t="n">
        <v>18</v>
      </c>
      <c r="B28" s="12" t="inlineStr">
        <is>
          <t>MMBT3904</t>
        </is>
      </c>
      <c r="C28" s="12" t="inlineStr">
        <is>
          <t>SOT-23</t>
        </is>
      </c>
      <c r="D28" s="12" t="inlineStr">
        <is>
          <t>NPN small-signal, SOT-23</t>
        </is>
      </c>
      <c r="E28" s="12" t="inlineStr">
        <is>
          <t>MMBT3904 (marking 1AM)</t>
        </is>
      </c>
      <c r="F28" s="12" t="inlineStr">
        <is>
          <t>C20526</t>
        </is>
      </c>
      <c r="G28" s="12" t="inlineStr">
        <is>
          <t>Q4, Q5, Q6, Q7, Q8, Q9, Q10, Q11, Q12, Q14</t>
        </is>
      </c>
      <c r="H28" s="12" t="n">
        <v>10</v>
      </c>
      <c r="I28" s="12">
        <f>$C$5</f>
        <v/>
      </c>
      <c r="J28" s="12">
        <f>H28*$C$3+I28</f>
        <v/>
      </c>
      <c r="K28" s="18" t="n"/>
      <c r="L28" s="14">
        <f>IF(K28="","",K28*$C$4)</f>
        <v/>
      </c>
      <c r="M28" s="15" t="n"/>
      <c r="N28" s="15" t="n"/>
      <c r="O28" s="15" t="n"/>
      <c r="P28" s="14">
        <f>IF(COUNT(M28:O28)=0,"",MIN(M28:O28))</f>
        <v/>
      </c>
      <c r="Q28" s="12">
        <f>IF(P28="","",INDEX($M$8:$O$8,MATCH(P28,M28:O28,0)))</f>
        <v/>
      </c>
      <c r="R28" s="14">
        <f>IF(P28="","",P28*J28)</f>
        <v/>
      </c>
      <c r="S28" s="16">
        <f>IF(OR(P28="",L28=""),"",P28/L28-1)</f>
        <v/>
      </c>
      <c r="T28" s="12" t="inlineStr">
        <is>
          <t>Generic OK</t>
        </is>
      </c>
      <c r="U28" s="12" t="inlineStr">
        <is>
          <t>Very common locally.</t>
        </is>
      </c>
    </row>
    <row r="29">
      <c r="A29" s="10" t="inlineStr">
        <is>
          <t>Protection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A30" s="12" t="n">
        <v>19</v>
      </c>
      <c r="B30" s="12" t="inlineStr">
        <is>
          <t>SMF5.0A</t>
        </is>
      </c>
      <c r="C30" s="12" t="inlineStr">
        <is>
          <t>SOD-123FL</t>
        </is>
      </c>
      <c r="D30" s="12" t="inlineStr">
        <is>
          <t>TVS 5 V unidirectional, SOD-123FL</t>
        </is>
      </c>
      <c r="E30" s="12" t="inlineStr">
        <is>
          <t>MDD SMF5.0A</t>
        </is>
      </c>
      <c r="F30" s="12" t="inlineStr">
        <is>
          <t>C193402</t>
        </is>
      </c>
      <c r="G30" s="12" t="inlineStr">
        <is>
          <t>D12</t>
        </is>
      </c>
      <c r="H30" s="12" t="n">
        <v>1</v>
      </c>
      <c r="I30" s="12">
        <f>$C$5</f>
        <v/>
      </c>
      <c r="J30" s="12">
        <f>H30*$C$3+I30</f>
        <v/>
      </c>
      <c r="K30" s="18" t="n"/>
      <c r="L30" s="14">
        <f>IF(K30="","",K30*$C$4)</f>
        <v/>
      </c>
      <c r="M30" s="15" t="n"/>
      <c r="N30" s="15" t="n"/>
      <c r="O30" s="15" t="n"/>
      <c r="P30" s="14">
        <f>IF(COUNT(M30:O30)=0,"",MIN(M30:O30))</f>
        <v/>
      </c>
      <c r="Q30" s="12">
        <f>IF(P30="","",INDEX($M$8:$O$8,MATCH(P30,M30:O30,0)))</f>
        <v/>
      </c>
      <c r="R30" s="14">
        <f>IF(P30="","",P30*J30)</f>
        <v/>
      </c>
      <c r="S30" s="16">
        <f>IF(OR(P30="",L30=""),"",P30/L30-1)</f>
        <v/>
      </c>
      <c r="T30" s="12" t="inlineStr">
        <is>
          <t>Generic OK</t>
        </is>
      </c>
      <c r="U30" s="12" t="inlineStr"/>
    </row>
    <row r="31">
      <c r="A31" s="12" t="n">
        <v>20</v>
      </c>
      <c r="B31" s="12" t="inlineStr">
        <is>
          <t>SMF05C</t>
        </is>
      </c>
      <c r="C31" s="12" t="inlineStr">
        <is>
          <t>SOT-363</t>
        </is>
      </c>
      <c r="D31" s="12" t="inlineStr">
        <is>
          <t>5-line ESD array (SIM), SOT-363</t>
        </is>
      </c>
      <c r="E31" s="12" t="inlineStr">
        <is>
          <t>onsemi SMF05CT1G</t>
        </is>
      </c>
      <c r="F31" s="12" t="inlineStr">
        <is>
          <t>C15879</t>
        </is>
      </c>
      <c r="G31" s="12" t="inlineStr">
        <is>
          <t>D14</t>
        </is>
      </c>
      <c r="H31" s="12" t="n">
        <v>1</v>
      </c>
      <c r="I31" s="12">
        <f>$C$5</f>
        <v/>
      </c>
      <c r="J31" s="12">
        <f>H31*$C$3+I31</f>
        <v/>
      </c>
      <c r="K31" s="18" t="n"/>
      <c r="L31" s="14">
        <f>IF(K31="","",K31*$C$4)</f>
        <v/>
      </c>
      <c r="M31" s="15" t="n"/>
      <c r="N31" s="15" t="n"/>
      <c r="O31" s="15" t="n"/>
      <c r="P31" s="14">
        <f>IF(COUNT(M31:O31)=0,"",MIN(M31:O31))</f>
        <v/>
      </c>
      <c r="Q31" s="12">
        <f>IF(P31="","",INDEX($M$8:$O$8,MATCH(P31,M31:O31,0)))</f>
        <v/>
      </c>
      <c r="R31" s="14">
        <f>IF(P31="","",P31*J31)</f>
        <v/>
      </c>
      <c r="S31" s="16">
        <f>IF(OR(P31="",L31=""),"",P31/L31-1)</f>
        <v/>
      </c>
      <c r="T31" s="12" t="inlineStr">
        <is>
          <t>Equivalent OK (match key specs)</t>
        </is>
      </c>
      <c r="U31" s="12" t="inlineStr"/>
    </row>
    <row r="32">
      <c r="A32" s="12" t="n">
        <v>21</v>
      </c>
      <c r="B32" s="12" t="inlineStr">
        <is>
          <t>USBLC6-2SC6</t>
        </is>
      </c>
      <c r="C32" s="12" t="inlineStr">
        <is>
          <t>SOT-23-6</t>
        </is>
      </c>
      <c r="D32" s="12" t="inlineStr">
        <is>
          <t>USB ESD array, SOT-23-6</t>
        </is>
      </c>
      <c r="E32" s="12" t="inlineStr">
        <is>
          <t>ST USBLC6-2SC6</t>
        </is>
      </c>
      <c r="F32" s="12" t="inlineStr">
        <is>
          <t>C7519</t>
        </is>
      </c>
      <c r="G32" s="12" t="inlineStr">
        <is>
          <t>D15</t>
        </is>
      </c>
      <c r="H32" s="12" t="n">
        <v>1</v>
      </c>
      <c r="I32" s="12">
        <f>$C$5</f>
        <v/>
      </c>
      <c r="J32" s="12">
        <f>H32*$C$3+I32</f>
        <v/>
      </c>
      <c r="K32" s="18" t="n"/>
      <c r="L32" s="14">
        <f>IF(K32="","",K32*$C$4)</f>
        <v/>
      </c>
      <c r="M32" s="15" t="n"/>
      <c r="N32" s="15" t="n"/>
      <c r="O32" s="15" t="n"/>
      <c r="P32" s="14">
        <f>IF(COUNT(M32:O32)=0,"",MIN(M32:O32))</f>
        <v/>
      </c>
      <c r="Q32" s="12">
        <f>IF(P32="","",INDEX($M$8:$O$8,MATCH(P32,M32:O32,0)))</f>
        <v/>
      </c>
      <c r="R32" s="14">
        <f>IF(P32="","",P32*J32)</f>
        <v/>
      </c>
      <c r="S32" s="16">
        <f>IF(OR(P32="",L32=""),"",P32/L32-1)</f>
        <v/>
      </c>
      <c r="T32" s="12" t="inlineStr">
        <is>
          <t>Equivalent OK (match key specs)</t>
        </is>
      </c>
      <c r="U32" s="12" t="inlineStr"/>
    </row>
    <row r="33">
      <c r="A33" s="12" t="n">
        <v>22</v>
      </c>
      <c r="B33" s="12" t="inlineStr">
        <is>
          <t>SMDJ100A</t>
        </is>
      </c>
      <c r="C33" s="12" t="inlineStr">
        <is>
          <t>SMC (DO-214AB)</t>
        </is>
      </c>
      <c r="D33" s="12" t="inlineStr">
        <is>
          <t>TVS 3 kW, VRWM 100 V, SMC</t>
        </is>
      </c>
      <c r="E33" s="12" t="inlineStr">
        <is>
          <t>Littelfuse SMDJ100A</t>
        </is>
      </c>
      <c r="F33" s="12" t="inlineStr">
        <is>
          <t>C1977839</t>
        </is>
      </c>
      <c r="G33" s="12" t="inlineStr">
        <is>
          <t>D2</t>
        </is>
      </c>
      <c r="H33" s="12" t="n">
        <v>1</v>
      </c>
      <c r="I33" s="12">
        <f>$C$5</f>
        <v/>
      </c>
      <c r="J33" s="12">
        <f>H33*$C$3+I33</f>
        <v/>
      </c>
      <c r="K33" s="13" t="n">
        <v>0.32</v>
      </c>
      <c r="L33" s="14">
        <f>IF(K33="","",K33*$C$4)</f>
        <v/>
      </c>
      <c r="M33" s="15" t="n"/>
      <c r="N33" s="15" t="n"/>
      <c r="O33" s="15" t="n"/>
      <c r="P33" s="14">
        <f>IF(COUNT(M33:O33)=0,"",MIN(M33:O33))</f>
        <v/>
      </c>
      <c r="Q33" s="12">
        <f>IF(P33="","",INDEX($M$8:$O$8,MATCH(P33,M33:O33,0)))</f>
        <v/>
      </c>
      <c r="R33" s="14">
        <f>IF(P33="","",P33*J33)</f>
        <v/>
      </c>
      <c r="S33" s="16">
        <f>IF(OR(P33="",L33=""),"",P33/L33-1)</f>
        <v/>
      </c>
      <c r="T33" s="12" t="inlineStr">
        <is>
          <t>Equivalent OK (match key specs)</t>
        </is>
      </c>
      <c r="U33" s="12" t="inlineStr">
        <is>
          <t>Must be the 3 kW SMDJ series in SMC. SMBJ100A (600 W) is NOT OK.</t>
        </is>
      </c>
    </row>
    <row r="34">
      <c r="A34" s="12" t="n">
        <v>23</v>
      </c>
      <c r="B34" s="12" t="inlineStr">
        <is>
          <t>PESD1CAN</t>
        </is>
      </c>
      <c r="C34" s="12" t="inlineStr">
        <is>
          <t>SOT-23</t>
        </is>
      </c>
      <c r="D34" s="12" t="inlineStr">
        <is>
          <t>CAN bus dual TVS 24 V, SOT-23</t>
        </is>
      </c>
      <c r="E34" s="12" t="inlineStr">
        <is>
          <t>Nexperia PESD1CAN,215</t>
        </is>
      </c>
      <c r="F34" s="12" t="inlineStr">
        <is>
          <t>C15771</t>
        </is>
      </c>
      <c r="G34" s="12" t="inlineStr">
        <is>
          <t>D3</t>
        </is>
      </c>
      <c r="H34" s="12" t="n">
        <v>1</v>
      </c>
      <c r="I34" s="12">
        <f>$C$5</f>
        <v/>
      </c>
      <c r="J34" s="12">
        <f>H34*$C$3+I34</f>
        <v/>
      </c>
      <c r="K34" s="13" t="n">
        <v>0.056</v>
      </c>
      <c r="L34" s="14">
        <f>IF(K34="","",K34*$C$4)</f>
        <v/>
      </c>
      <c r="M34" s="15" t="n"/>
      <c r="N34" s="15" t="n"/>
      <c r="O34" s="15" t="n"/>
      <c r="P34" s="14">
        <f>IF(COUNT(M34:O34)=0,"",MIN(M34:O34))</f>
        <v/>
      </c>
      <c r="Q34" s="12">
        <f>IF(P34="","",INDEX($M$8:$O$8,MATCH(P34,M34:O34,0)))</f>
        <v/>
      </c>
      <c r="R34" s="14">
        <f>IF(P34="","",P34*J34)</f>
        <v/>
      </c>
      <c r="S34" s="16">
        <f>IF(OR(P34="",L34=""),"",P34/L34-1)</f>
        <v/>
      </c>
      <c r="T34" s="12" t="inlineStr">
        <is>
          <t>Equivalent OK (match key specs)</t>
        </is>
      </c>
      <c r="U34" s="12" t="inlineStr">
        <is>
          <t>Equivalent: any dual-line 24 V CAN TVS in SOT-23 with the same pinout.</t>
        </is>
      </c>
    </row>
    <row r="35">
      <c r="A35" s="12" t="n">
        <v>24</v>
      </c>
      <c r="B35" s="12" t="inlineStr">
        <is>
          <t>1A 250V</t>
        </is>
      </c>
      <c r="C35" s="12" t="inlineStr">
        <is>
          <t>FUSE-SMD</t>
        </is>
      </c>
      <c r="D35" s="12" t="inlineStr">
        <is>
          <t>Fuse 1 A, 250 V AC/DC, 50 A interrupt, SMD 10x3 mm</t>
        </is>
      </c>
      <c r="E35" s="12" t="inlineStr">
        <is>
          <t>Littelfuse 0443001.DR</t>
        </is>
      </c>
      <c r="F35" s="12" t="inlineStr">
        <is>
          <t>C95352</t>
        </is>
      </c>
      <c r="G35" s="12" t="inlineStr">
        <is>
          <t>F1</t>
        </is>
      </c>
      <c r="H35" s="12" t="n">
        <v>1</v>
      </c>
      <c r="I35" s="12">
        <f>$C$5</f>
        <v/>
      </c>
      <c r="J35" s="12">
        <f>H35*$C$3+I35</f>
        <v/>
      </c>
      <c r="K35" s="18" t="n"/>
      <c r="L35" s="14">
        <f>IF(K35="","",K35*$C$4)</f>
        <v/>
      </c>
      <c r="M35" s="15" t="n"/>
      <c r="N35" s="15" t="n"/>
      <c r="O35" s="15" t="n"/>
      <c r="P35" s="14">
        <f>IF(COUNT(M35:O35)=0,"",MIN(M35:O35))</f>
        <v/>
      </c>
      <c r="Q35" s="12">
        <f>IF(P35="","",INDEX($M$8:$O$8,MATCH(P35,M35:O35,0)))</f>
        <v/>
      </c>
      <c r="R35" s="14">
        <f>IF(P35="","",P35*J35)</f>
        <v/>
      </c>
      <c r="S35" s="16">
        <f>IF(OR(P35="",L35=""),"",P35/L35-1)</f>
        <v/>
      </c>
      <c r="T35" s="17" t="inlineStr">
        <is>
          <t>Exact part only</t>
        </is>
      </c>
      <c r="U35" s="12" t="inlineStr">
        <is>
          <t>Voltage rating must be ≥125 V DC (input reaches 100 V). Common 32/63 V SMD fuses are NOT OK.</t>
        </is>
      </c>
    </row>
    <row r="36">
      <c r="A36" s="10" t="inlineStr">
        <is>
          <t>Inductors &amp; ferrites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A37" s="12" t="n">
        <v>25</v>
      </c>
      <c r="B37" s="12" t="inlineStr">
        <is>
          <t>600R@100MHz</t>
        </is>
      </c>
      <c r="C37" s="12" t="inlineStr">
        <is>
          <t>0805</t>
        </is>
      </c>
      <c r="D37" s="12" t="inlineStr">
        <is>
          <t>Ferrite bead 600 Ω @100 MHz, 0805</t>
        </is>
      </c>
      <c r="E37" s="12" t="inlineStr">
        <is>
          <t>LCSC C1017</t>
        </is>
      </c>
      <c r="F37" s="12" t="inlineStr">
        <is>
          <t>C1017</t>
        </is>
      </c>
      <c r="G37" s="12" t="inlineStr">
        <is>
          <t>FB1</t>
        </is>
      </c>
      <c r="H37" s="12" t="n">
        <v>1</v>
      </c>
      <c r="I37" s="12">
        <f>$C$5</f>
        <v/>
      </c>
      <c r="J37" s="12">
        <f>H37*$C$3+I37</f>
        <v/>
      </c>
      <c r="K37" s="18" t="n"/>
      <c r="L37" s="14">
        <f>IF(K37="","",K37*$C$4)</f>
        <v/>
      </c>
      <c r="M37" s="15" t="n"/>
      <c r="N37" s="15" t="n"/>
      <c r="O37" s="15" t="n"/>
      <c r="P37" s="14">
        <f>IF(COUNT(M37:O37)=0,"",MIN(M37:O37))</f>
        <v/>
      </c>
      <c r="Q37" s="12">
        <f>IF(P37="","",INDEX($M$8:$O$8,MATCH(P37,M37:O37,0)))</f>
        <v/>
      </c>
      <c r="R37" s="14">
        <f>IF(P37="","",P37*J37)</f>
        <v/>
      </c>
      <c r="S37" s="16">
        <f>IF(OR(P37="",L37=""),"",P37/L37-1)</f>
        <v/>
      </c>
      <c r="T37" s="12" t="inlineStr">
        <is>
          <t>Generic OK</t>
        </is>
      </c>
      <c r="U37" s="12" t="inlineStr"/>
    </row>
    <row r="38">
      <c r="A38" s="12" t="n">
        <v>26</v>
      </c>
      <c r="B38" s="12" t="inlineStr">
        <is>
          <t>150uH 2.7A</t>
        </is>
      </c>
      <c r="C38" s="12" t="inlineStr">
        <is>
          <t>IND-SMD</t>
        </is>
      </c>
      <c r="D38" s="12" t="inlineStr">
        <is>
          <t>Power inductor 150 µH, Isat ≥2.7 A, shielded, 12x12 mm</t>
        </is>
      </c>
      <c r="E38" s="12" t="inlineStr">
        <is>
          <t>SMDRI127-151MT</t>
        </is>
      </c>
      <c r="F38" s="12" t="inlineStr">
        <is>
          <t>C21325</t>
        </is>
      </c>
      <c r="G38" s="12" t="inlineStr">
        <is>
          <t>L1</t>
        </is>
      </c>
      <c r="H38" s="12" t="n">
        <v>1</v>
      </c>
      <c r="I38" s="12">
        <f>$C$5</f>
        <v/>
      </c>
      <c r="J38" s="12">
        <f>H38*$C$3+I38</f>
        <v/>
      </c>
      <c r="K38" s="18" t="n"/>
      <c r="L38" s="14">
        <f>IF(K38="","",K38*$C$4)</f>
        <v/>
      </c>
      <c r="M38" s="15" t="n"/>
      <c r="N38" s="15" t="n"/>
      <c r="O38" s="15" t="n"/>
      <c r="P38" s="14">
        <f>IF(COUNT(M38:O38)=0,"",MIN(M38:O38))</f>
        <v/>
      </c>
      <c r="Q38" s="12">
        <f>IF(P38="","",INDEX($M$8:$O$8,MATCH(P38,M38:O38,0)))</f>
        <v/>
      </c>
      <c r="R38" s="14">
        <f>IF(P38="","",P38*J38)</f>
        <v/>
      </c>
      <c r="S38" s="16">
        <f>IF(OR(P38="",L38=""),"",P38/L38-1)</f>
        <v/>
      </c>
      <c r="T38" s="12" t="inlineStr">
        <is>
          <t>Equivalent OK (match key specs)</t>
        </is>
      </c>
      <c r="U38" s="12" t="inlineStr">
        <is>
          <t>Must be shielded, 12.3x12.3 mm footprint, saturation current ≥2.7 A.</t>
        </is>
      </c>
    </row>
    <row r="39">
      <c r="A39" s="12" t="n">
        <v>27</v>
      </c>
      <c r="B39" s="12" t="inlineStr">
        <is>
          <t>ACT45B-510-2P</t>
        </is>
      </c>
      <c r="C39" s="12" t="inlineStr">
        <is>
          <t>IND-SMD</t>
        </is>
      </c>
      <c r="D39" s="12" t="inlineStr">
        <is>
          <t>CAN common-mode choke 51 µH</t>
        </is>
      </c>
      <c r="E39" s="12" t="inlineStr">
        <is>
          <t>TDK ACT45B-510-2P-TL003</t>
        </is>
      </c>
      <c r="F39" s="12" t="inlineStr">
        <is>
          <t>C76584</t>
        </is>
      </c>
      <c r="G39" s="12" t="inlineStr">
        <is>
          <t>L2</t>
        </is>
      </c>
      <c r="H39" s="12" t="n">
        <v>1</v>
      </c>
      <c r="I39" s="12">
        <f>$C$5</f>
        <v/>
      </c>
      <c r="J39" s="12">
        <f>H39*$C$3+I39</f>
        <v/>
      </c>
      <c r="K39" s="13" t="n">
        <v>0.28</v>
      </c>
      <c r="L39" s="14">
        <f>IF(K39="","",K39*$C$4)</f>
        <v/>
      </c>
      <c r="M39" s="15" t="n"/>
      <c r="N39" s="15" t="n"/>
      <c r="O39" s="15" t="n"/>
      <c r="P39" s="14">
        <f>IF(COUNT(M39:O39)=0,"",MIN(M39:O39))</f>
        <v/>
      </c>
      <c r="Q39" s="12">
        <f>IF(P39="","",INDEX($M$8:$O$8,MATCH(P39,M39:O39,0)))</f>
        <v/>
      </c>
      <c r="R39" s="14">
        <f>IF(P39="","",P39*J39)</f>
        <v/>
      </c>
      <c r="S39" s="16">
        <f>IF(OR(P39="",L39=""),"",P39/L39-1)</f>
        <v/>
      </c>
      <c r="T39" s="12" t="inlineStr">
        <is>
          <t>Equivalent OK (match key specs)</t>
        </is>
      </c>
      <c r="U39" s="12" t="inlineStr">
        <is>
          <t>Alternate in repo: MetalLions ACT45B-510-2P-TF.</t>
        </is>
      </c>
    </row>
    <row r="40">
      <c r="A40" s="12" t="n">
        <v>28</v>
      </c>
      <c r="B40" s="12" t="inlineStr">
        <is>
          <t>2.2uH</t>
        </is>
      </c>
      <c r="C40" s="12" t="inlineStr">
        <is>
          <t>L1008</t>
        </is>
      </c>
      <c r="D40" s="12" t="inlineStr">
        <is>
          <t>Power inductor 2.2 µH, 2520 (1008)</t>
        </is>
      </c>
      <c r="E40" s="12" t="inlineStr">
        <is>
          <t>Murata DFE252012P-2R2M</t>
        </is>
      </c>
      <c r="F40" s="12" t="inlineStr">
        <is>
          <t>C391305</t>
        </is>
      </c>
      <c r="G40" s="12" t="inlineStr">
        <is>
          <t>L3</t>
        </is>
      </c>
      <c r="H40" s="12" t="n">
        <v>1</v>
      </c>
      <c r="I40" s="12">
        <f>$C$5</f>
        <v/>
      </c>
      <c r="J40" s="12">
        <f>H40*$C$3+I40</f>
        <v/>
      </c>
      <c r="K40" s="18" t="n"/>
      <c r="L40" s="14">
        <f>IF(K40="","",K40*$C$4)</f>
        <v/>
      </c>
      <c r="M40" s="15" t="n"/>
      <c r="N40" s="15" t="n"/>
      <c r="O40" s="15" t="n"/>
      <c r="P40" s="14">
        <f>IF(COUNT(M40:O40)=0,"",MIN(M40:O40))</f>
        <v/>
      </c>
      <c r="Q40" s="12">
        <f>IF(P40="","",INDEX($M$8:$O$8,MATCH(P40,M40:O40,0)))</f>
        <v/>
      </c>
      <c r="R40" s="14">
        <f>IF(P40="","",P40*J40)</f>
        <v/>
      </c>
      <c r="S40" s="16">
        <f>IF(OR(P40="",L40=""),"",P40/L40-1)</f>
        <v/>
      </c>
      <c r="T40" s="12" t="inlineStr">
        <is>
          <t>Equivalent OK (match key specs)</t>
        </is>
      </c>
      <c r="U40" s="12" t="inlineStr">
        <is>
          <t>Rated ≥2 A for the charger.</t>
        </is>
      </c>
    </row>
    <row r="41">
      <c r="A41" s="12" t="n">
        <v>29</v>
      </c>
      <c r="B41" s="12" t="inlineStr">
        <is>
          <t>68nH</t>
        </is>
      </c>
      <c r="C41" s="12" t="inlineStr">
        <is>
          <t>0402</t>
        </is>
      </c>
      <c r="D41" s="12" t="inlineStr">
        <is>
          <t>RF inductor 68 nH, WIREWOUND, 0402</t>
        </is>
      </c>
      <c r="E41" s="12" t="inlineStr">
        <is>
          <t>Murata LQW15AN68NG80D</t>
        </is>
      </c>
      <c r="F41" s="12" t="inlineStr">
        <is>
          <t>C3221844</t>
        </is>
      </c>
      <c r="G41" s="12" t="inlineStr">
        <is>
          <t>L4</t>
        </is>
      </c>
      <c r="H41" s="12" t="n">
        <v>1</v>
      </c>
      <c r="I41" s="12">
        <f>$C$5</f>
        <v/>
      </c>
      <c r="J41" s="12">
        <f>H41*$C$3+I41</f>
        <v/>
      </c>
      <c r="K41" s="18" t="n"/>
      <c r="L41" s="14">
        <f>IF(K41="","",K41*$C$4)</f>
        <v/>
      </c>
      <c r="M41" s="15" t="n"/>
      <c r="N41" s="15" t="n"/>
      <c r="O41" s="15" t="n"/>
      <c r="P41" s="14">
        <f>IF(COUNT(M41:O41)=0,"",MIN(M41:O41))</f>
        <v/>
      </c>
      <c r="Q41" s="12">
        <f>IF(P41="","",INDEX($M$8:$O$8,MATCH(P41,M41:O41,0)))</f>
        <v/>
      </c>
      <c r="R41" s="14">
        <f>IF(P41="","",P41*J41)</f>
        <v/>
      </c>
      <c r="S41" s="16">
        <f>IF(OR(P41="",L41=""),"",P41/L41-1)</f>
        <v/>
      </c>
      <c r="T41" s="17" t="inlineStr">
        <is>
          <t>Exact part only</t>
        </is>
      </c>
      <c r="U41" s="12" t="inlineStr">
        <is>
          <t>Must be wirewound (SRF 2.5 GHz). Multilayer 0402 68 nH does NOT work at GPS frequency.</t>
        </is>
      </c>
    </row>
    <row r="42">
      <c r="A42" s="10" t="inlineStr">
        <is>
          <t>Crystals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A43" s="12" t="n">
        <v>30</v>
      </c>
      <c r="B43" s="12" t="inlineStr">
        <is>
          <t>8MHz</t>
        </is>
      </c>
      <c r="C43" s="12" t="inlineStr">
        <is>
          <t>SMD 3225 4-pin</t>
        </is>
      </c>
      <c r="D43" s="12" t="inlineStr">
        <is>
          <t>Crystal 8 MHz, 3225 4-pin</t>
        </is>
      </c>
      <c r="E43" s="12" t="inlineStr">
        <is>
          <t>LCSC C115962</t>
        </is>
      </c>
      <c r="F43" s="12" t="inlineStr">
        <is>
          <t>C115962</t>
        </is>
      </c>
      <c r="G43" s="12" t="inlineStr">
        <is>
          <t>Y1</t>
        </is>
      </c>
      <c r="H43" s="12" t="n">
        <v>1</v>
      </c>
      <c r="I43" s="12">
        <f>$C$5</f>
        <v/>
      </c>
      <c r="J43" s="12">
        <f>H43*$C$3+I43</f>
        <v/>
      </c>
      <c r="K43" s="18" t="n"/>
      <c r="L43" s="14">
        <f>IF(K43="","",K43*$C$4)</f>
        <v/>
      </c>
      <c r="M43" s="15" t="n"/>
      <c r="N43" s="15" t="n"/>
      <c r="O43" s="15" t="n"/>
      <c r="P43" s="14">
        <f>IF(COUNT(M43:O43)=0,"",MIN(M43:O43))</f>
        <v/>
      </c>
      <c r="Q43" s="12">
        <f>IF(P43="","",INDEX($M$8:$O$8,MATCH(P43,M43:O43,0)))</f>
        <v/>
      </c>
      <c r="R43" s="14">
        <f>IF(P43="","",P43*J43)</f>
        <v/>
      </c>
      <c r="S43" s="16">
        <f>IF(OR(P43="",L43=""),"",P43/L43-1)</f>
        <v/>
      </c>
      <c r="T43" s="12" t="inlineStr">
        <is>
          <t>Equivalent OK (match key specs)</t>
        </is>
      </c>
      <c r="U43" s="12" t="inlineStr">
        <is>
          <t>Load capacitance ~10-12 pF to suit the 18 pF caps.</t>
        </is>
      </c>
    </row>
    <row r="44">
      <c r="A44" s="12" t="n">
        <v>31</v>
      </c>
      <c r="B44" s="12" t="inlineStr">
        <is>
          <t>32.768kHz</t>
        </is>
      </c>
      <c r="C44" s="12" t="inlineStr">
        <is>
          <t>SMD 3215 2-pin</t>
        </is>
      </c>
      <c r="D44" s="12" t="inlineStr">
        <is>
          <t>Crystal 32.768 kHz, 3215</t>
        </is>
      </c>
      <c r="E44" s="12" t="inlineStr">
        <is>
          <t>LCSC C32346</t>
        </is>
      </c>
      <c r="F44" s="12" t="inlineStr">
        <is>
          <t>C32346</t>
        </is>
      </c>
      <c r="G44" s="12" t="inlineStr">
        <is>
          <t>Y2</t>
        </is>
      </c>
      <c r="H44" s="12" t="n">
        <v>1</v>
      </c>
      <c r="I44" s="12">
        <f>$C$5</f>
        <v/>
      </c>
      <c r="J44" s="12">
        <f>H44*$C$3+I44</f>
        <v/>
      </c>
      <c r="K44" s="18" t="n"/>
      <c r="L44" s="14">
        <f>IF(K44="","",K44*$C$4)</f>
        <v/>
      </c>
      <c r="M44" s="15" t="n"/>
      <c r="N44" s="15" t="n"/>
      <c r="O44" s="15" t="n"/>
      <c r="P44" s="14">
        <f>IF(COUNT(M44:O44)=0,"",MIN(M44:O44))</f>
        <v/>
      </c>
      <c r="Q44" s="12">
        <f>IF(P44="","",INDEX($M$8:$O$8,MATCH(P44,M44:O44,0)))</f>
        <v/>
      </c>
      <c r="R44" s="14">
        <f>IF(P44="","",P44*J44)</f>
        <v/>
      </c>
      <c r="S44" s="16">
        <f>IF(OR(P44="",L44=""),"",P44/L44-1)</f>
        <v/>
      </c>
      <c r="T44" s="12" t="inlineStr">
        <is>
          <t>Equivalent OK (match key specs)</t>
        </is>
      </c>
      <c r="U44" s="12" t="inlineStr">
        <is>
          <t>Load capacitance ~6-7 pF to suit the 6.8 pF caps.</t>
        </is>
      </c>
    </row>
    <row r="45">
      <c r="A45" s="10" t="inlineStr">
        <is>
          <t>Connectors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A46" s="12" t="n">
        <v>32</v>
      </c>
      <c r="B46" s="12" t="inlineStr">
        <is>
          <t>U.FL</t>
        </is>
      </c>
      <c r="C46" s="12" t="inlineStr">
        <is>
          <t>CONN-SMD</t>
        </is>
      </c>
      <c r="D46" s="12" t="inlineStr">
        <is>
          <t>U.FL / IPEX-1 RF connector, SMD</t>
        </is>
      </c>
      <c r="E46" s="12" t="inlineStr">
        <is>
          <t>XYECONN XY-IPEX1</t>
        </is>
      </c>
      <c r="F46" s="12" t="inlineStr">
        <is>
          <t>C53133524</t>
        </is>
      </c>
      <c r="G46" s="12" t="inlineStr">
        <is>
          <t>AF1, AF2</t>
        </is>
      </c>
      <c r="H46" s="12" t="n">
        <v>2</v>
      </c>
      <c r="I46" s="12">
        <f>$C$5</f>
        <v/>
      </c>
      <c r="J46" s="12">
        <f>H46*$C$3+I46</f>
        <v/>
      </c>
      <c r="K46" s="18" t="n"/>
      <c r="L46" s="14">
        <f>IF(K46="","",K46*$C$4)</f>
        <v/>
      </c>
      <c r="M46" s="15" t="n"/>
      <c r="N46" s="15" t="n"/>
      <c r="O46" s="15" t="n"/>
      <c r="P46" s="14">
        <f>IF(COUNT(M46:O46)=0,"",MIN(M46:O46))</f>
        <v/>
      </c>
      <c r="Q46" s="12">
        <f>IF(P46="","",INDEX($M$8:$O$8,MATCH(P46,M46:O46,0)))</f>
        <v/>
      </c>
      <c r="R46" s="14">
        <f>IF(P46="","",P46*J46)</f>
        <v/>
      </c>
      <c r="S46" s="16">
        <f>IF(OR(P46="",L46=""),"",P46/L46-1)</f>
        <v/>
      </c>
      <c r="T46" s="12" t="inlineStr">
        <is>
          <t>Generic OK</t>
        </is>
      </c>
      <c r="U46" s="12" t="inlineStr">
        <is>
          <t>Any IPEX gen-1 / U.FL.</t>
        </is>
      </c>
    </row>
    <row r="47">
      <c r="A47" s="12" t="n">
        <v>33</v>
      </c>
      <c r="B47" s="12" t="inlineStr">
        <is>
          <t>WAFER-MX3.0-12PZZ</t>
        </is>
      </c>
      <c r="C47" s="12" t="inlineStr">
        <is>
          <t>XUNPU</t>
        </is>
      </c>
      <c r="D47" s="12" t="inlineStr">
        <is>
          <t>Micro-Fit 3.0 style 2x6, 3.0 mm, vertical TH header</t>
        </is>
      </c>
      <c r="E47" s="12" t="inlineStr">
        <is>
          <t>XUNPU WAFER-MX3.0-12PZZ</t>
        </is>
      </c>
      <c r="F47" s="12" t="inlineStr">
        <is>
          <t>C7588012</t>
        </is>
      </c>
      <c r="G47" s="12" t="inlineStr">
        <is>
          <t>J1</t>
        </is>
      </c>
      <c r="H47" s="12" t="n">
        <v>1</v>
      </c>
      <c r="I47" s="12">
        <f>$C$5</f>
        <v/>
      </c>
      <c r="J47" s="12">
        <f>H47*$C$3+I47</f>
        <v/>
      </c>
      <c r="K47" s="13" t="n">
        <v>0.21</v>
      </c>
      <c r="L47" s="14">
        <f>IF(K47="","",K47*$C$4)</f>
        <v/>
      </c>
      <c r="M47" s="15" t="n"/>
      <c r="N47" s="15" t="n"/>
      <c r="O47" s="15" t="n"/>
      <c r="P47" s="14">
        <f>IF(COUNT(M47:O47)=0,"",MIN(M47:O47))</f>
        <v/>
      </c>
      <c r="Q47" s="12">
        <f>IF(P47="","",INDEX($M$8:$O$8,MATCH(P47,M47:O47,0)))</f>
        <v/>
      </c>
      <c r="R47" s="14">
        <f>IF(P47="","",P47*J47)</f>
        <v/>
      </c>
      <c r="S47" s="16">
        <f>IF(OR(P47="",L47=""),"",P47/L47-1)</f>
        <v/>
      </c>
      <c r="T47" s="12" t="inlineStr">
        <is>
          <t>Equivalent OK (match key specs)</t>
        </is>
      </c>
      <c r="U47" s="12" t="inlineStr">
        <is>
          <t>Molex 43045-1212 is the original. Mating housing + crimps for the harness are NOT included here.</t>
        </is>
      </c>
    </row>
    <row r="48">
      <c r="A48" s="12" t="n">
        <v>34</v>
      </c>
      <c r="B48" s="12" t="inlineStr">
        <is>
          <t>B3B-XH-A</t>
        </is>
      </c>
      <c r="C48" s="12" t="inlineStr">
        <is>
          <t>JST-XH 3-pin vertical TH</t>
        </is>
      </c>
      <c r="D48" s="12" t="inlineStr">
        <is>
          <t>JST-XH 3-pin vertical header (battery)</t>
        </is>
      </c>
      <c r="E48" s="12" t="inlineStr">
        <is>
          <t>JST B3B-XH-A(LF)(SN)</t>
        </is>
      </c>
      <c r="F48" s="12" t="inlineStr">
        <is>
          <t>C144394</t>
        </is>
      </c>
      <c r="G48" s="12" t="inlineStr">
        <is>
          <t>J2</t>
        </is>
      </c>
      <c r="H48" s="12" t="n">
        <v>1</v>
      </c>
      <c r="I48" s="12">
        <f>$C$5</f>
        <v/>
      </c>
      <c r="J48" s="12">
        <f>H48*$C$3+I48</f>
        <v/>
      </c>
      <c r="K48" s="18" t="n"/>
      <c r="L48" s="14">
        <f>IF(K48="","",K48*$C$4)</f>
        <v/>
      </c>
      <c r="M48" s="15" t="n"/>
      <c r="N48" s="15" t="n"/>
      <c r="O48" s="15" t="n"/>
      <c r="P48" s="14">
        <f>IF(COUNT(M48:O48)=0,"",MIN(M48:O48))</f>
        <v/>
      </c>
      <c r="Q48" s="12">
        <f>IF(P48="","",INDEX($M$8:$O$8,MATCH(P48,M48:O48,0)))</f>
        <v/>
      </c>
      <c r="R48" s="14">
        <f>IF(P48="","",P48*J48)</f>
        <v/>
      </c>
      <c r="S48" s="16">
        <f>IF(OR(P48="",L48=""),"",P48/L48-1)</f>
        <v/>
      </c>
      <c r="T48" s="12" t="inlineStr">
        <is>
          <t>Generic OK</t>
        </is>
      </c>
      <c r="U48" s="12" t="inlineStr">
        <is>
          <t>Generic XH 2.5 mm OK.</t>
        </is>
      </c>
    </row>
    <row r="49">
      <c r="A49" s="12" t="n">
        <v>35</v>
      </c>
      <c r="B49" s="12" t="inlineStr">
        <is>
          <t>NANO-SIM</t>
        </is>
      </c>
      <c r="C49" s="12" t="inlineStr">
        <is>
          <t>SIM-SMD</t>
        </is>
      </c>
      <c r="D49" s="12" t="inlineStr">
        <is>
          <t>Nano-SIM push-push holder, 7-pin</t>
        </is>
      </c>
      <c r="E49" s="12" t="inlineStr">
        <is>
          <t>JXTCONN NANO SIM 7P 1.37H PUSH</t>
        </is>
      </c>
      <c r="F49" s="12" t="inlineStr">
        <is>
          <t>C53207808</t>
        </is>
      </c>
      <c r="G49" s="12" t="inlineStr">
        <is>
          <t>X1</t>
        </is>
      </c>
      <c r="H49" s="12" t="n">
        <v>1</v>
      </c>
      <c r="I49" s="12">
        <f>$C$5</f>
        <v/>
      </c>
      <c r="J49" s="12">
        <f>H49*$C$3+I49</f>
        <v/>
      </c>
      <c r="K49" s="13" t="n">
        <v>0.181</v>
      </c>
      <c r="L49" s="14">
        <f>IF(K49="","",K49*$C$4)</f>
        <v/>
      </c>
      <c r="M49" s="15" t="n"/>
      <c r="N49" s="15" t="n"/>
      <c r="O49" s="15" t="n"/>
      <c r="P49" s="14">
        <f>IF(COUNT(M49:O49)=0,"",MIN(M49:O49))</f>
        <v/>
      </c>
      <c r="Q49" s="12">
        <f>IF(P49="","",INDEX($M$8:$O$8,MATCH(P49,M49:O49,0)))</f>
        <v/>
      </c>
      <c r="R49" s="14">
        <f>IF(P49="","",P49*J49)</f>
        <v/>
      </c>
      <c r="S49" s="16">
        <f>IF(OR(P49="",L49=""),"",P49/L49-1)</f>
        <v/>
      </c>
      <c r="T49" s="17" t="inlineStr">
        <is>
          <t>Exact part only</t>
        </is>
      </c>
      <c r="U49" s="12" t="inlineStr">
        <is>
          <t>Footprint is drawn for this exact holder. Other holders have different pad layouts.</t>
        </is>
      </c>
    </row>
    <row r="50">
      <c r="A50" s="10" t="inlineStr">
        <is>
          <t>Capacitors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A51" s="12" t="n">
        <v>36</v>
      </c>
      <c r="B51" s="12" t="inlineStr">
        <is>
          <t>6.8pF</t>
        </is>
      </c>
      <c r="C51" s="12" t="inlineStr">
        <is>
          <t>0603</t>
        </is>
      </c>
      <c r="D51" s="12" t="inlineStr">
        <is>
          <t>6.8 pF C0G/NP0 0603</t>
        </is>
      </c>
      <c r="E51" s="12" t="inlineStr">
        <is>
          <t>LCSC C1555</t>
        </is>
      </c>
      <c r="F51" s="12" t="inlineStr">
        <is>
          <t>C1555</t>
        </is>
      </c>
      <c r="G51" s="12" t="inlineStr">
        <is>
          <t>C3, C4</t>
        </is>
      </c>
      <c r="H51" s="12" t="n">
        <v>2</v>
      </c>
      <c r="I51" s="12">
        <f>$C$5</f>
        <v/>
      </c>
      <c r="J51" s="12">
        <f>H51*$C$3+I51</f>
        <v/>
      </c>
      <c r="K51" s="18" t="n"/>
      <c r="L51" s="14">
        <f>IF(K51="","",K51*$C$4)</f>
        <v/>
      </c>
      <c r="M51" s="15" t="n"/>
      <c r="N51" s="15" t="n"/>
      <c r="O51" s="15" t="n"/>
      <c r="P51" s="14">
        <f>IF(COUNT(M51:O51)=0,"",MIN(M51:O51))</f>
        <v/>
      </c>
      <c r="Q51" s="12">
        <f>IF(P51="","",INDEX($M$8:$O$8,MATCH(P51,M51:O51,0)))</f>
        <v/>
      </c>
      <c r="R51" s="14">
        <f>IF(P51="","",P51*J51)</f>
        <v/>
      </c>
      <c r="S51" s="16">
        <f>IF(OR(P51="",L51=""),"",P51/L51-1)</f>
        <v/>
      </c>
      <c r="T51" s="12" t="inlineStr">
        <is>
          <t>Generic OK</t>
        </is>
      </c>
      <c r="U51" s="12" t="inlineStr">
        <is>
          <t>C0G/NP0 only.</t>
        </is>
      </c>
    </row>
    <row r="52">
      <c r="A52" s="12" t="n">
        <v>37</v>
      </c>
      <c r="B52" s="12" t="inlineStr">
        <is>
          <t>18pF</t>
        </is>
      </c>
      <c r="C52" s="12" t="inlineStr">
        <is>
          <t>0603</t>
        </is>
      </c>
      <c r="D52" s="12" t="inlineStr">
        <is>
          <t>18 pF C0G/NP0 0603</t>
        </is>
      </c>
      <c r="E52" s="12" t="inlineStr">
        <is>
          <t>LCSC C1653</t>
        </is>
      </c>
      <c r="F52" s="12" t="inlineStr">
        <is>
          <t>C1653</t>
        </is>
      </c>
      <c r="G52" s="12" t="inlineStr">
        <is>
          <t>C1, C2</t>
        </is>
      </c>
      <c r="H52" s="12" t="n">
        <v>2</v>
      </c>
      <c r="I52" s="12">
        <f>$C$5</f>
        <v/>
      </c>
      <c r="J52" s="12">
        <f>H52*$C$3+I52</f>
        <v/>
      </c>
      <c r="K52" s="18" t="n"/>
      <c r="L52" s="14">
        <f>IF(K52="","",K52*$C$4)</f>
        <v/>
      </c>
      <c r="M52" s="15" t="n"/>
      <c r="N52" s="15" t="n"/>
      <c r="O52" s="15" t="n"/>
      <c r="P52" s="14">
        <f>IF(COUNT(M52:O52)=0,"",MIN(M52:O52))</f>
        <v/>
      </c>
      <c r="Q52" s="12">
        <f>IF(P52="","",INDEX($M$8:$O$8,MATCH(P52,M52:O52,0)))</f>
        <v/>
      </c>
      <c r="R52" s="14">
        <f>IF(P52="","",P52*J52)</f>
        <v/>
      </c>
      <c r="S52" s="16">
        <f>IF(OR(P52="",L52=""),"",P52/L52-1)</f>
        <v/>
      </c>
      <c r="T52" s="12" t="inlineStr">
        <is>
          <t>Generic OK</t>
        </is>
      </c>
      <c r="U52" s="12" t="inlineStr">
        <is>
          <t>C0G/NP0 only.</t>
        </is>
      </c>
    </row>
    <row r="53">
      <c r="A53" s="12" t="n">
        <v>38</v>
      </c>
      <c r="B53" s="12" t="inlineStr">
        <is>
          <t>100pF C0G</t>
        </is>
      </c>
      <c r="C53" s="12" t="inlineStr">
        <is>
          <t>0402</t>
        </is>
      </c>
      <c r="D53" s="12" t="inlineStr">
        <is>
          <t>100 pF C0G 50 V 0402 (RF series block)</t>
        </is>
      </c>
      <c r="E53" s="12" t="inlineStr">
        <is>
          <t>FH 0402CG101J500NT</t>
        </is>
      </c>
      <c r="F53" s="12" t="inlineStr">
        <is>
          <t>C1546</t>
        </is>
      </c>
      <c r="G53" s="12" t="inlineStr">
        <is>
          <t>C84</t>
        </is>
      </c>
      <c r="H53" s="12" t="n">
        <v>1</v>
      </c>
      <c r="I53" s="12">
        <f>$C$5</f>
        <v/>
      </c>
      <c r="J53" s="12">
        <f>H53*$C$3+I53</f>
        <v/>
      </c>
      <c r="K53" s="18" t="n"/>
      <c r="L53" s="14">
        <f>IF(K53="","",K53*$C$4)</f>
        <v/>
      </c>
      <c r="M53" s="15" t="n"/>
      <c r="N53" s="15" t="n"/>
      <c r="O53" s="15" t="n"/>
      <c r="P53" s="14">
        <f>IF(COUNT(M53:O53)=0,"",MIN(M53:O53))</f>
        <v/>
      </c>
      <c r="Q53" s="12">
        <f>IF(P53="","",INDEX($M$8:$O$8,MATCH(P53,M53:O53,0)))</f>
        <v/>
      </c>
      <c r="R53" s="14">
        <f>IF(P53="","",P53*J53)</f>
        <v/>
      </c>
      <c r="S53" s="16">
        <f>IF(OR(P53="",L53=""),"",P53/L53-1)</f>
        <v/>
      </c>
      <c r="T53" s="12" t="inlineStr">
        <is>
          <t>Generic OK</t>
        </is>
      </c>
      <c r="U53" s="12" t="inlineStr">
        <is>
          <t>Always fitted: removing it opens the GNSS antenna path.</t>
        </is>
      </c>
    </row>
    <row r="54">
      <c r="A54" s="12" t="n">
        <v>39</v>
      </c>
      <c r="B54" s="12" t="inlineStr">
        <is>
          <t>4.7nF</t>
        </is>
      </c>
      <c r="C54" s="12" t="inlineStr">
        <is>
          <t>0603</t>
        </is>
      </c>
      <c r="D54" s="12" t="inlineStr">
        <is>
          <t>4.7 nF 50 V X7R 0603</t>
        </is>
      </c>
      <c r="E54" s="12" t="inlineStr">
        <is>
          <t>Samsung CL10B472KB8NNNC</t>
        </is>
      </c>
      <c r="F54" s="12" t="inlineStr">
        <is>
          <t>C1621</t>
        </is>
      </c>
      <c r="G54" s="12" t="inlineStr">
        <is>
          <t>C22</t>
        </is>
      </c>
      <c r="H54" s="12" t="n">
        <v>1</v>
      </c>
      <c r="I54" s="12">
        <f>$C$5</f>
        <v/>
      </c>
      <c r="J54" s="12">
        <f>H54*$C$3+I54</f>
        <v/>
      </c>
      <c r="K54" s="18" t="n"/>
      <c r="L54" s="14">
        <f>IF(K54="","",K54*$C$4)</f>
        <v/>
      </c>
      <c r="M54" s="15" t="n"/>
      <c r="N54" s="15" t="n"/>
      <c r="O54" s="15" t="n"/>
      <c r="P54" s="14">
        <f>IF(COUNT(M54:O54)=0,"",MIN(M54:O54))</f>
        <v/>
      </c>
      <c r="Q54" s="12">
        <f>IF(P54="","",INDEX($M$8:$O$8,MATCH(P54,M54:O54,0)))</f>
        <v/>
      </c>
      <c r="R54" s="14">
        <f>IF(P54="","",P54*J54)</f>
        <v/>
      </c>
      <c r="S54" s="16">
        <f>IF(OR(P54="",L54=""),"",P54/L54-1)</f>
        <v/>
      </c>
      <c r="T54" s="12" t="inlineStr">
        <is>
          <t>Generic OK</t>
        </is>
      </c>
      <c r="U54" s="12" t="inlineStr"/>
    </row>
    <row r="55">
      <c r="A55" s="12" t="n">
        <v>40</v>
      </c>
      <c r="B55" s="12" t="inlineStr">
        <is>
          <t>10nF</t>
        </is>
      </c>
      <c r="C55" s="12" t="inlineStr">
        <is>
          <t>0402</t>
        </is>
      </c>
      <c r="D55" s="12" t="inlineStr">
        <is>
          <t>10 nF X7R 0402</t>
        </is>
      </c>
      <c r="E55" s="12" t="inlineStr">
        <is>
          <t>TBD (F-22)</t>
        </is>
      </c>
      <c r="F55" s="12" t="inlineStr">
        <is>
          <t>not chosen yet</t>
        </is>
      </c>
      <c r="G55" s="12" t="inlineStr">
        <is>
          <t>C85</t>
        </is>
      </c>
      <c r="H55" s="12" t="n">
        <v>1</v>
      </c>
      <c r="I55" s="12">
        <f>$C$5</f>
        <v/>
      </c>
      <c r="J55" s="12">
        <f>H55*$C$3+I55</f>
        <v/>
      </c>
      <c r="K55" s="18" t="n"/>
      <c r="L55" s="14">
        <f>IF(K55="","",K55*$C$4)</f>
        <v/>
      </c>
      <c r="M55" s="15" t="n"/>
      <c r="N55" s="15" t="n"/>
      <c r="O55" s="15" t="n"/>
      <c r="P55" s="14">
        <f>IF(COUNT(M55:O55)=0,"",MIN(M55:O55))</f>
        <v/>
      </c>
      <c r="Q55" s="12">
        <f>IF(P55="","",INDEX($M$8:$O$8,MATCH(P55,M55:O55,0)))</f>
        <v/>
      </c>
      <c r="R55" s="14">
        <f>IF(P55="","",P55*J55)</f>
        <v/>
      </c>
      <c r="S55" s="16">
        <f>IF(OR(P55="",L55=""),"",P55/L55-1)</f>
        <v/>
      </c>
      <c r="T55" s="12" t="inlineStr">
        <is>
          <t>Generic OK</t>
        </is>
      </c>
      <c r="U55" s="12" t="inlineStr">
        <is>
          <t>Part number not yet chosen (F-22).</t>
        </is>
      </c>
    </row>
    <row r="56">
      <c r="A56" s="12" t="n">
        <v>41</v>
      </c>
      <c r="B56" s="12" t="inlineStr">
        <is>
          <t>47nF</t>
        </is>
      </c>
      <c r="C56" s="12" t="inlineStr">
        <is>
          <t>0603</t>
        </is>
      </c>
      <c r="D56" s="12" t="inlineStr">
        <is>
          <t>47 nF X7R 0603</t>
        </is>
      </c>
      <c r="E56" s="12" t="inlineStr">
        <is>
          <t>TBD (F-5)</t>
        </is>
      </c>
      <c r="F56" s="12" t="inlineStr">
        <is>
          <t>not chosen yet</t>
        </is>
      </c>
      <c r="G56" s="12" t="inlineStr">
        <is>
          <t>C64</t>
        </is>
      </c>
      <c r="H56" s="12" t="n">
        <v>1</v>
      </c>
      <c r="I56" s="12">
        <f>$C$5</f>
        <v/>
      </c>
      <c r="J56" s="12">
        <f>H56*$C$3+I56</f>
        <v/>
      </c>
      <c r="K56" s="18" t="n"/>
      <c r="L56" s="14">
        <f>IF(K56="","",K56*$C$4)</f>
        <v/>
      </c>
      <c r="M56" s="15" t="n"/>
      <c r="N56" s="15" t="n"/>
      <c r="O56" s="15" t="n"/>
      <c r="P56" s="14">
        <f>IF(COUNT(M56:O56)=0,"",MIN(M56:O56))</f>
        <v/>
      </c>
      <c r="Q56" s="12">
        <f>IF(P56="","",INDEX($M$8:$O$8,MATCH(P56,M56:O56,0)))</f>
        <v/>
      </c>
      <c r="R56" s="14">
        <f>IF(P56="","",P56*J56)</f>
        <v/>
      </c>
      <c r="S56" s="16">
        <f>IF(OR(P56="",L56=""),"",P56/L56-1)</f>
        <v/>
      </c>
      <c r="T56" s="12" t="inlineStr">
        <is>
          <t>Generic OK</t>
        </is>
      </c>
      <c r="U56" s="12" t="inlineStr">
        <is>
          <t>Value provisional (design log F-5). Confirm before buying.</t>
        </is>
      </c>
    </row>
    <row r="57">
      <c r="A57" s="12" t="n">
        <v>42</v>
      </c>
      <c r="B57" s="12" t="inlineStr">
        <is>
          <t>100nF</t>
        </is>
      </c>
      <c r="C57" s="12" t="inlineStr">
        <is>
          <t>0603</t>
        </is>
      </c>
      <c r="D57" s="12" t="inlineStr">
        <is>
          <t>100 nF ≥25 V X7R 0603</t>
        </is>
      </c>
      <c r="E57" s="12" t="inlineStr">
        <is>
          <t>LCSC C14663</t>
        </is>
      </c>
      <c r="F57" s="12" t="inlineStr">
        <is>
          <t>C14663</t>
        </is>
      </c>
      <c r="G57" s="12" t="inlineStr">
        <is>
          <t>C5, C6, C8, C9, C10, C11, C13, C20, C23, C24, C25, C26, C27, C28, C29, C43, C45, C46, C47, C76, C80</t>
        </is>
      </c>
      <c r="H57" s="12" t="n">
        <v>21</v>
      </c>
      <c r="I57" s="12">
        <f>$C$5</f>
        <v/>
      </c>
      <c r="J57" s="12">
        <f>H57*$C$3+I57</f>
        <v/>
      </c>
      <c r="K57" s="18" t="n"/>
      <c r="L57" s="14">
        <f>IF(K57="","",K57*$C$4)</f>
        <v/>
      </c>
      <c r="M57" s="15" t="n"/>
      <c r="N57" s="15" t="n"/>
      <c r="O57" s="15" t="n"/>
      <c r="P57" s="14">
        <f>IF(COUNT(M57:O57)=0,"",MIN(M57:O57))</f>
        <v/>
      </c>
      <c r="Q57" s="12">
        <f>IF(P57="","",INDEX($M$8:$O$8,MATCH(P57,M57:O57,0)))</f>
        <v/>
      </c>
      <c r="R57" s="14">
        <f>IF(P57="","",P57*J57)</f>
        <v/>
      </c>
      <c r="S57" s="16">
        <f>IF(OR(P57="",L57=""),"",P57/L57-1)</f>
        <v/>
      </c>
      <c r="T57" s="12" t="inlineStr">
        <is>
          <t>Generic OK</t>
        </is>
      </c>
      <c r="U57" s="12" t="inlineStr">
        <is>
          <t>C76 is labelled 25 V. Buy all at ≥25 V.</t>
        </is>
      </c>
    </row>
    <row r="58">
      <c r="A58" s="12" t="n">
        <v>43</v>
      </c>
      <c r="B58" s="19" t="inlineStr">
        <is>
          <t>100nF</t>
        </is>
      </c>
      <c r="C58" s="12" t="inlineStr">
        <is>
          <t>0603</t>
        </is>
      </c>
      <c r="D58" s="12" t="inlineStr">
        <is>
          <t>100 nF ≥100 V X7R (on 10.5-100 V input)</t>
        </is>
      </c>
      <c r="E58" s="12" t="inlineStr">
        <is>
          <t>schematic: C14663 (general 0603 part)</t>
        </is>
      </c>
      <c r="F58" s="12" t="inlineStr">
        <is>
          <t>C14663 (rating too low)</t>
        </is>
      </c>
      <c r="G58" s="12" t="inlineStr">
        <is>
          <t>C72</t>
        </is>
      </c>
      <c r="H58" s="12" t="n">
        <v>1</v>
      </c>
      <c r="I58" s="12">
        <f>$C$5</f>
        <v/>
      </c>
      <c r="J58" s="12">
        <f>H58*$C$3+I58</f>
        <v/>
      </c>
      <c r="K58" s="18" t="n"/>
      <c r="L58" s="14">
        <f>IF(K58="","",K58*$C$4)</f>
        <v/>
      </c>
      <c r="M58" s="15" t="n"/>
      <c r="N58" s="15" t="n"/>
      <c r="O58" s="15" t="n"/>
      <c r="P58" s="14">
        <f>IF(COUNT(M58:O58)=0,"",MIN(M58:O58))</f>
        <v/>
      </c>
      <c r="Q58" s="12">
        <f>IF(P58="","",INDEX($M$8:$O$8,MATCH(P58,M58:O58,0)))</f>
        <v/>
      </c>
      <c r="R58" s="14">
        <f>IF(P58="","",P58*J58)</f>
        <v/>
      </c>
      <c r="S58" s="16">
        <f>IF(OR(P58="",L58=""),"",P58/L58-1)</f>
        <v/>
      </c>
      <c r="T58" s="17" t="inlineStr">
        <is>
          <t>Exact part only</t>
        </is>
      </c>
      <c r="U58" s="19" t="inlineStr">
        <is>
          <t>CHECK: C72 sits on the input rail that reaches 100 V. Buy a ≥100 V rated part, and fix the schematic part number.</t>
        </is>
      </c>
    </row>
    <row r="59">
      <c r="A59" s="12" t="n">
        <v>44</v>
      </c>
      <c r="B59" s="19" t="inlineStr">
        <is>
          <t>100nF</t>
        </is>
      </c>
      <c r="C59" s="12" t="inlineStr">
        <is>
          <t>0402</t>
        </is>
      </c>
      <c r="D59" s="12" t="inlineStr">
        <is>
          <t>100 nF X7R 0402</t>
        </is>
      </c>
      <c r="E59" s="12" t="inlineStr">
        <is>
          <t>schematic says C14663, which is 0603</t>
        </is>
      </c>
      <c r="F59" s="12" t="inlineStr">
        <is>
          <t>C14663 (wrong size)</t>
        </is>
      </c>
      <c r="G59" s="12" t="inlineStr">
        <is>
          <t>C83</t>
        </is>
      </c>
      <c r="H59" s="12" t="n">
        <v>1</v>
      </c>
      <c r="I59" s="12">
        <f>$C$5</f>
        <v/>
      </c>
      <c r="J59" s="12">
        <f>H59*$C$3+I59</f>
        <v/>
      </c>
      <c r="K59" s="18" t="n"/>
      <c r="L59" s="14">
        <f>IF(K59="","",K59*$C$4)</f>
        <v/>
      </c>
      <c r="M59" s="15" t="n"/>
      <c r="N59" s="15" t="n"/>
      <c r="O59" s="15" t="n"/>
      <c r="P59" s="14">
        <f>IF(COUNT(M59:O59)=0,"",MIN(M59:O59))</f>
        <v/>
      </c>
      <c r="Q59" s="12">
        <f>IF(P59="","",INDEX($M$8:$O$8,MATCH(P59,M59:O59,0)))</f>
        <v/>
      </c>
      <c r="R59" s="14">
        <f>IF(P59="","",P59*J59)</f>
        <v/>
      </c>
      <c r="S59" s="16">
        <f>IF(OR(P59="",L59=""),"",P59/L59-1)</f>
        <v/>
      </c>
      <c r="T59" s="12" t="inlineStr">
        <is>
          <t>Generic OK</t>
        </is>
      </c>
      <c r="U59" s="19" t="inlineStr">
        <is>
          <t>MISMATCH: footprint is 0402 but the LCSC number is the 0603 part. Buy 0402. Repo suggests YAGEO C60474.</t>
        </is>
      </c>
    </row>
    <row r="60">
      <c r="A60" s="12" t="n">
        <v>45</v>
      </c>
      <c r="B60" s="12" t="inlineStr">
        <is>
          <t>1uF</t>
        </is>
      </c>
      <c r="C60" s="12" t="inlineStr">
        <is>
          <t>0603</t>
        </is>
      </c>
      <c r="D60" s="12" t="inlineStr">
        <is>
          <t>1 µF ≥25 V X7R 0603</t>
        </is>
      </c>
      <c r="E60" s="12" t="inlineStr">
        <is>
          <t>LCSC C15849</t>
        </is>
      </c>
      <c r="F60" s="12" t="inlineStr">
        <is>
          <t>C15849</t>
        </is>
      </c>
      <c r="G60" s="12" t="inlineStr">
        <is>
          <t>C7, C14, C21, C42, C44, C61, C68, C69, C75</t>
        </is>
      </c>
      <c r="H60" s="12" t="n">
        <v>9</v>
      </c>
      <c r="I60" s="12">
        <f>$C$5</f>
        <v/>
      </c>
      <c r="J60" s="12">
        <f>H60*$C$3+I60</f>
        <v/>
      </c>
      <c r="K60" s="18" t="n"/>
      <c r="L60" s="14">
        <f>IF(K60="","",K60*$C$4)</f>
        <v/>
      </c>
      <c r="M60" s="15" t="n"/>
      <c r="N60" s="15" t="n"/>
      <c r="O60" s="15" t="n"/>
      <c r="P60" s="14">
        <f>IF(COUNT(M60:O60)=0,"",MIN(M60:O60))</f>
        <v/>
      </c>
      <c r="Q60" s="12">
        <f>IF(P60="","",INDEX($M$8:$O$8,MATCH(P60,M60:O60,0)))</f>
        <v/>
      </c>
      <c r="R60" s="14">
        <f>IF(P60="","",P60*J60)</f>
        <v/>
      </c>
      <c r="S60" s="16">
        <f>IF(OR(P60="",L60=""),"",P60/L60-1)</f>
        <v/>
      </c>
      <c r="T60" s="12" t="inlineStr">
        <is>
          <t>Generic OK</t>
        </is>
      </c>
      <c r="U60" s="12" t="inlineStr">
        <is>
          <t>C75 is labelled 25 V. Buy all at ≥25 V.</t>
        </is>
      </c>
    </row>
    <row r="61">
      <c r="A61" s="12" t="n">
        <v>46</v>
      </c>
      <c r="B61" s="12" t="inlineStr">
        <is>
          <t>2.2uF 100V</t>
        </is>
      </c>
      <c r="C61" s="12" t="inlineStr">
        <is>
          <t>1210</t>
        </is>
      </c>
      <c r="D61" s="12" t="inlineStr">
        <is>
          <t>2.2 µF 100 V X7R 1210</t>
        </is>
      </c>
      <c r="E61" s="12" t="inlineStr">
        <is>
          <t>CCTC TCC1210X7R225K101MT</t>
        </is>
      </c>
      <c r="F61" s="12" t="inlineStr">
        <is>
          <t>C5449052</t>
        </is>
      </c>
      <c r="G61" s="12" t="inlineStr">
        <is>
          <t>C70, C71, C73, C74</t>
        </is>
      </c>
      <c r="H61" s="12" t="n">
        <v>4</v>
      </c>
      <c r="I61" s="12">
        <f>$C$5</f>
        <v/>
      </c>
      <c r="J61" s="12">
        <f>H61*$C$3+I61</f>
        <v/>
      </c>
      <c r="K61" s="18" t="n"/>
      <c r="L61" s="14">
        <f>IF(K61="","",K61*$C$4)</f>
        <v/>
      </c>
      <c r="M61" s="15" t="n"/>
      <c r="N61" s="15" t="n"/>
      <c r="O61" s="15" t="n"/>
      <c r="P61" s="14">
        <f>IF(COUNT(M61:O61)=0,"",MIN(M61:O61))</f>
        <v/>
      </c>
      <c r="Q61" s="12">
        <f>IF(P61="","",INDEX($M$8:$O$8,MATCH(P61,M61:O61,0)))</f>
        <v/>
      </c>
      <c r="R61" s="14">
        <f>IF(P61="","",P61*J61)</f>
        <v/>
      </c>
      <c r="S61" s="16">
        <f>IF(OR(P61="",L61=""),"",P61/L61-1)</f>
        <v/>
      </c>
      <c r="T61" s="12" t="inlineStr">
        <is>
          <t>Equivalent OK (match key specs)</t>
        </is>
      </c>
      <c r="U61" s="12" t="inlineStr">
        <is>
          <t>Must be 100 V and X7R. Lower voltage parts will fail.</t>
        </is>
      </c>
    </row>
    <row r="62">
      <c r="A62" s="12" t="n">
        <v>47</v>
      </c>
      <c r="B62" s="12" t="inlineStr">
        <is>
          <t>4.7uF</t>
        </is>
      </c>
      <c r="C62" s="12" t="inlineStr">
        <is>
          <t>0805</t>
        </is>
      </c>
      <c r="D62" s="12" t="inlineStr">
        <is>
          <t>4.7 µF ≥25 V X5R/X7R 0805</t>
        </is>
      </c>
      <c r="E62" s="12" t="inlineStr">
        <is>
          <t>LCSC C23733</t>
        </is>
      </c>
      <c r="F62" s="12" t="inlineStr">
        <is>
          <t>C23733</t>
        </is>
      </c>
      <c r="G62" s="12" t="inlineStr">
        <is>
          <t>C12, C63</t>
        </is>
      </c>
      <c r="H62" s="12" t="n">
        <v>2</v>
      </c>
      <c r="I62" s="12">
        <f>$C$5</f>
        <v/>
      </c>
      <c r="J62" s="12">
        <f>H62*$C$3+I62</f>
        <v/>
      </c>
      <c r="K62" s="18" t="n"/>
      <c r="L62" s="14">
        <f>IF(K62="","",K62*$C$4)</f>
        <v/>
      </c>
      <c r="M62" s="15" t="n"/>
      <c r="N62" s="15" t="n"/>
      <c r="O62" s="15" t="n"/>
      <c r="P62" s="14">
        <f>IF(COUNT(M62:O62)=0,"",MIN(M62:O62))</f>
        <v/>
      </c>
      <c r="Q62" s="12">
        <f>IF(P62="","",INDEX($M$8:$O$8,MATCH(P62,M62:O62,0)))</f>
        <v/>
      </c>
      <c r="R62" s="14">
        <f>IF(P62="","",P62*J62)</f>
        <v/>
      </c>
      <c r="S62" s="16">
        <f>IF(OR(P62="",L62=""),"",P62/L62-1)</f>
        <v/>
      </c>
      <c r="T62" s="12" t="inlineStr">
        <is>
          <t>Generic OK</t>
        </is>
      </c>
      <c r="U62" s="12" t="inlineStr"/>
    </row>
    <row r="63">
      <c r="A63" s="12" t="n">
        <v>48</v>
      </c>
      <c r="B63" s="12" t="inlineStr">
        <is>
          <t>10uF</t>
        </is>
      </c>
      <c r="C63" s="12" t="inlineStr">
        <is>
          <t>0805</t>
        </is>
      </c>
      <c r="D63" s="12" t="inlineStr">
        <is>
          <t>10 µF 25 V X7S/X7R 0805</t>
        </is>
      </c>
      <c r="E63" s="12" t="inlineStr">
        <is>
          <t>Murata GRM21BC71E106KE11L</t>
        </is>
      </c>
      <c r="F63" s="12" t="inlineStr">
        <is>
          <t>C109040</t>
        </is>
      </c>
      <c r="G63" s="12" t="inlineStr">
        <is>
          <t>C62, C65, C66, C67, C77, C78, C79</t>
        </is>
      </c>
      <c r="H63" s="12" t="n">
        <v>7</v>
      </c>
      <c r="I63" s="12">
        <f>$C$5</f>
        <v/>
      </c>
      <c r="J63" s="12">
        <f>H63*$C$3+I63</f>
        <v/>
      </c>
      <c r="K63" s="18" t="n"/>
      <c r="L63" s="14">
        <f>IF(K63="","",K63*$C$4)</f>
        <v/>
      </c>
      <c r="M63" s="15" t="n"/>
      <c r="N63" s="15" t="n"/>
      <c r="O63" s="15" t="n"/>
      <c r="P63" s="14">
        <f>IF(COUNT(M63:O63)=0,"",MIN(M63:O63))</f>
        <v/>
      </c>
      <c r="Q63" s="12">
        <f>IF(P63="","",INDEX($M$8:$O$8,MATCH(P63,M63:O63,0)))</f>
        <v/>
      </c>
      <c r="R63" s="14">
        <f>IF(P63="","",P63*J63)</f>
        <v/>
      </c>
      <c r="S63" s="16">
        <f>IF(OR(P63="",L63=""),"",P63/L63-1)</f>
        <v/>
      </c>
      <c r="T63" s="12" t="inlineStr">
        <is>
          <t>Equivalent OK (match key specs)</t>
        </is>
      </c>
      <c r="U63" s="12" t="inlineStr">
        <is>
          <t>≥25 V, X7R/X7S.</t>
        </is>
      </c>
    </row>
    <row r="64">
      <c r="A64" s="12" t="n">
        <v>49</v>
      </c>
      <c r="B64" s="12" t="inlineStr">
        <is>
          <t>47uF X7R</t>
        </is>
      </c>
      <c r="C64" s="12" t="inlineStr">
        <is>
          <t>1210</t>
        </is>
      </c>
      <c r="D64" s="12" t="inlineStr">
        <is>
          <t>47 µF 10 V X7R 1210</t>
        </is>
      </c>
      <c r="E64" s="12" t="inlineStr">
        <is>
          <t>Murata GRM32ER71A476KE15L</t>
        </is>
      </c>
      <c r="F64" s="12" t="inlineStr">
        <is>
          <t>C84494</t>
        </is>
      </c>
      <c r="G64" s="12" t="inlineStr">
        <is>
          <t>C40, C41, C81, C82</t>
        </is>
      </c>
      <c r="H64" s="12" t="n">
        <v>4</v>
      </c>
      <c r="I64" s="12">
        <f>$C$5</f>
        <v/>
      </c>
      <c r="J64" s="12">
        <f>H64*$C$3+I64</f>
        <v/>
      </c>
      <c r="K64" s="18" t="n"/>
      <c r="L64" s="14">
        <f>IF(K64="","",K64*$C$4)</f>
        <v/>
      </c>
      <c r="M64" s="15" t="n"/>
      <c r="N64" s="15" t="n"/>
      <c r="O64" s="15" t="n"/>
      <c r="P64" s="14">
        <f>IF(COUNT(M64:O64)=0,"",MIN(M64:O64))</f>
        <v/>
      </c>
      <c r="Q64" s="12">
        <f>IF(P64="","",INDEX($M$8:$O$8,MATCH(P64,M64:O64,0)))</f>
        <v/>
      </c>
      <c r="R64" s="14">
        <f>IF(P64="","",P64*J64)</f>
        <v/>
      </c>
      <c r="S64" s="16">
        <f>IF(OR(P64="",L64=""),"",P64/L64-1)</f>
        <v/>
      </c>
      <c r="T64" s="12" t="inlineStr">
        <is>
          <t>Equivalent OK (match key specs)</t>
        </is>
      </c>
      <c r="U64" s="12" t="inlineStr">
        <is>
          <t>X7R and ≥10 V. X5R loses too much capacitance at temperature.</t>
        </is>
      </c>
    </row>
    <row r="65">
      <c r="A65" s="10" t="inlineStr">
        <is>
          <t>Resistors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A66" s="12" t="n">
        <v>50</v>
      </c>
      <c r="B66" s="12" t="inlineStr">
        <is>
          <t>0R</t>
        </is>
      </c>
      <c r="C66" s="12" t="inlineStr">
        <is>
          <t>0805</t>
        </is>
      </c>
      <c r="D66" s="12" t="inlineStr">
        <is>
          <t>0 Ω 1% 0805</t>
        </is>
      </c>
      <c r="E66" s="12" t="inlineStr">
        <is>
          <t>C17477</t>
        </is>
      </c>
      <c r="F66" s="12" t="inlineStr">
        <is>
          <t>C17477</t>
        </is>
      </c>
      <c r="G66" s="12" t="inlineStr">
        <is>
          <t>R3, R69, R82</t>
        </is>
      </c>
      <c r="H66" s="12" t="n">
        <v>3</v>
      </c>
      <c r="I66" s="12">
        <f>$C$5</f>
        <v/>
      </c>
      <c r="J66" s="12">
        <f>H66*$C$3+I66</f>
        <v/>
      </c>
      <c r="K66" s="18" t="n"/>
      <c r="L66" s="14">
        <f>IF(K66="","",K66*$C$4)</f>
        <v/>
      </c>
      <c r="M66" s="15" t="n"/>
      <c r="N66" s="15" t="n"/>
      <c r="O66" s="15" t="n"/>
      <c r="P66" s="14">
        <f>IF(COUNT(M66:O66)=0,"",MIN(M66:O66))</f>
        <v/>
      </c>
      <c r="Q66" s="12">
        <f>IF(P66="","",INDEX($M$8:$O$8,MATCH(P66,M66:O66,0)))</f>
        <v/>
      </c>
      <c r="R66" s="14">
        <f>IF(P66="","",P66*J66)</f>
        <v/>
      </c>
      <c r="S66" s="16">
        <f>IF(OR(P66="",L66=""),"",P66/L66-1)</f>
        <v/>
      </c>
      <c r="T66" s="12" t="inlineStr">
        <is>
          <t>Generic OK</t>
        </is>
      </c>
      <c r="U66" s="12" t="inlineStr"/>
    </row>
    <row r="67">
      <c r="A67" s="12" t="n">
        <v>51</v>
      </c>
      <c r="B67" s="19" t="inlineStr">
        <is>
          <t>0R</t>
        </is>
      </c>
      <c r="C67" s="12" t="inlineStr">
        <is>
          <t>0402</t>
        </is>
      </c>
      <c r="D67" s="12" t="inlineStr">
        <is>
          <t>0 Ω jumper 0402</t>
        </is>
      </c>
      <c r="E67" s="12" t="inlineStr">
        <is>
          <t>schematic says C17477, which is 0805</t>
        </is>
      </c>
      <c r="F67" s="12" t="inlineStr">
        <is>
          <t>C17477 (wrong size)</t>
        </is>
      </c>
      <c r="G67" s="12" t="inlineStr">
        <is>
          <t>R71, R72</t>
        </is>
      </c>
      <c r="H67" s="12" t="n">
        <v>2</v>
      </c>
      <c r="I67" s="12">
        <f>$C$5</f>
        <v/>
      </c>
      <c r="J67" s="12">
        <f>H67*$C$3+I67</f>
        <v/>
      </c>
      <c r="K67" s="18" t="n"/>
      <c r="L67" s="14">
        <f>IF(K67="","",K67*$C$4)</f>
        <v/>
      </c>
      <c r="M67" s="15" t="n"/>
      <c r="N67" s="15" t="n"/>
      <c r="O67" s="15" t="n"/>
      <c r="P67" s="14">
        <f>IF(COUNT(M67:O67)=0,"",MIN(M67:O67))</f>
        <v/>
      </c>
      <c r="Q67" s="12">
        <f>IF(P67="","",INDEX($M$8:$O$8,MATCH(P67,M67:O67,0)))</f>
        <v/>
      </c>
      <c r="R67" s="14">
        <f>IF(P67="","",P67*J67)</f>
        <v/>
      </c>
      <c r="S67" s="16">
        <f>IF(OR(P67="",L67=""),"",P67/L67-1)</f>
        <v/>
      </c>
      <c r="T67" s="12" t="inlineStr">
        <is>
          <t>Generic OK</t>
        </is>
      </c>
      <c r="U67" s="19" t="inlineStr">
        <is>
          <t>MISMATCH: footprint is 0402 but the LCSC number is the 0805 part. Buy 0402.</t>
        </is>
      </c>
    </row>
    <row r="68">
      <c r="A68" s="12" t="n">
        <v>52</v>
      </c>
      <c r="B68" s="12" t="inlineStr">
        <is>
          <t>1R 2512 anti-surge</t>
        </is>
      </c>
      <c r="C68" s="12" t="inlineStr">
        <is>
          <t>2512</t>
        </is>
      </c>
      <c r="D68" s="12" t="inlineStr">
        <is>
          <t>1 Ω 2512 ANTI-SURGE / pulse rated</t>
        </is>
      </c>
      <c r="E68" s="12" t="inlineStr">
        <is>
          <t>FOJAN FRS2512F1R00TS</t>
        </is>
      </c>
      <c r="F68" s="12" t="inlineStr">
        <is>
          <t>C55348540</t>
        </is>
      </c>
      <c r="G68" s="12" t="inlineStr">
        <is>
          <t>R80</t>
        </is>
      </c>
      <c r="H68" s="12" t="n">
        <v>1</v>
      </c>
      <c r="I68" s="12">
        <f>$C$5</f>
        <v/>
      </c>
      <c r="J68" s="12">
        <f>H68*$C$3+I68</f>
        <v/>
      </c>
      <c r="K68" s="18" t="n"/>
      <c r="L68" s="14">
        <f>IF(K68="","",K68*$C$4)</f>
        <v/>
      </c>
      <c r="M68" s="15" t="n"/>
      <c r="N68" s="15" t="n"/>
      <c r="O68" s="15" t="n"/>
      <c r="P68" s="14">
        <f>IF(COUNT(M68:O68)=0,"",MIN(M68:O68))</f>
        <v/>
      </c>
      <c r="Q68" s="12">
        <f>IF(P68="","",INDEX($M$8:$O$8,MATCH(P68,M68:O68,0)))</f>
        <v/>
      </c>
      <c r="R68" s="14">
        <f>IF(P68="","",P68*J68)</f>
        <v/>
      </c>
      <c r="S68" s="16">
        <f>IF(OR(P68="",L68=""),"",P68/L68-1)</f>
        <v/>
      </c>
      <c r="T68" s="17" t="inlineStr">
        <is>
          <t>Exact part only</t>
        </is>
      </c>
      <c r="U68" s="12" t="inlineStr">
        <is>
          <t>Must be an anti-surge (pulse withstanding) resistor. A plain 2512 can fuse on input surges.</t>
        </is>
      </c>
    </row>
    <row r="69">
      <c r="A69" s="12" t="n">
        <v>53</v>
      </c>
      <c r="B69" s="19" t="inlineStr">
        <is>
          <t>33R</t>
        </is>
      </c>
      <c r="C69" s="12" t="inlineStr">
        <is>
          <t>0805</t>
        </is>
      </c>
      <c r="D69" s="12" t="inlineStr">
        <is>
          <t>33 Ω 1% 0805</t>
        </is>
      </c>
      <c r="E69" s="12" t="inlineStr">
        <is>
          <t>schematic says C17408, which is 100 Ω</t>
        </is>
      </c>
      <c r="F69" s="12" t="inlineStr">
        <is>
          <t>C17408 (wrong value)</t>
        </is>
      </c>
      <c r="G69" s="12" t="inlineStr">
        <is>
          <t>R66, R67, R68</t>
        </is>
      </c>
      <c r="H69" s="12" t="n">
        <v>3</v>
      </c>
      <c r="I69" s="12">
        <f>$C$5</f>
        <v/>
      </c>
      <c r="J69" s="12">
        <f>H69*$C$3+I69</f>
        <v/>
      </c>
      <c r="K69" s="18" t="n"/>
      <c r="L69" s="14">
        <f>IF(K69="","",K69*$C$4)</f>
        <v/>
      </c>
      <c r="M69" s="15" t="n"/>
      <c r="N69" s="15" t="n"/>
      <c r="O69" s="15" t="n"/>
      <c r="P69" s="14">
        <f>IF(COUNT(M69:O69)=0,"",MIN(M69:O69))</f>
        <v/>
      </c>
      <c r="Q69" s="12">
        <f>IF(P69="","",INDEX($M$8:$O$8,MATCH(P69,M69:O69,0)))</f>
        <v/>
      </c>
      <c r="R69" s="14">
        <f>IF(P69="","",P69*J69)</f>
        <v/>
      </c>
      <c r="S69" s="16">
        <f>IF(OR(P69="",L69=""),"",P69/L69-1)</f>
        <v/>
      </c>
      <c r="T69" s="12" t="inlineStr">
        <is>
          <t>Generic OK</t>
        </is>
      </c>
      <c r="U69" s="19" t="inlineStr">
        <is>
          <t>MISMATCH: value is 33 Ω but the LCSC number is 100 Ω (known F-5 placeholder). Buy 33 Ω.</t>
        </is>
      </c>
    </row>
    <row r="70">
      <c r="A70" s="12" t="n">
        <v>54</v>
      </c>
      <c r="B70" s="12" t="inlineStr">
        <is>
          <t>60.4R</t>
        </is>
      </c>
      <c r="C70" s="12" t="inlineStr">
        <is>
          <t>0805</t>
        </is>
      </c>
      <c r="D70" s="12" t="inlineStr">
        <is>
          <t>60.4 Ω 1% 0805</t>
        </is>
      </c>
      <c r="E70" s="12" t="inlineStr">
        <is>
          <t>YAGEO AC0805FR-0760R4L</t>
        </is>
      </c>
      <c r="F70" s="12" t="inlineStr">
        <is>
          <t>C228935</t>
        </is>
      </c>
      <c r="G70" s="12" t="inlineStr">
        <is>
          <t>R11, R12</t>
        </is>
      </c>
      <c r="H70" s="12" t="n">
        <v>2</v>
      </c>
      <c r="I70" s="12">
        <f>$C$5</f>
        <v/>
      </c>
      <c r="J70" s="12">
        <f>H70*$C$3+I70</f>
        <v/>
      </c>
      <c r="K70" s="18" t="n"/>
      <c r="L70" s="14">
        <f>IF(K70="","",K70*$C$4)</f>
        <v/>
      </c>
      <c r="M70" s="15" t="n"/>
      <c r="N70" s="15" t="n"/>
      <c r="O70" s="15" t="n"/>
      <c r="P70" s="14">
        <f>IF(COUNT(M70:O70)=0,"",MIN(M70:O70))</f>
        <v/>
      </c>
      <c r="Q70" s="12">
        <f>IF(P70="","",INDEX($M$8:$O$8,MATCH(P70,M70:O70,0)))</f>
        <v/>
      </c>
      <c r="R70" s="14">
        <f>IF(P70="","",P70*J70)</f>
        <v/>
      </c>
      <c r="S70" s="16">
        <f>IF(OR(P70="",L70=""),"",P70/L70-1)</f>
        <v/>
      </c>
      <c r="T70" s="12" t="inlineStr">
        <is>
          <t>Equivalent OK (match key specs)</t>
        </is>
      </c>
      <c r="U70" s="12" t="inlineStr">
        <is>
          <t>Exact 60.4 Ω for split CAN termination. 62 Ω is acceptable if 60.4 is not stocked.</t>
        </is>
      </c>
    </row>
    <row r="71">
      <c r="A71" s="12" t="n">
        <v>55</v>
      </c>
      <c r="B71" s="12" t="inlineStr">
        <is>
          <t>68R</t>
        </is>
      </c>
      <c r="C71" s="12" t="inlineStr">
        <is>
          <t>1210</t>
        </is>
      </c>
      <c r="D71" s="12" t="inlineStr">
        <is>
          <t>68 Ω 1210 (GNSS feed current limit)</t>
        </is>
      </c>
      <c r="E71" s="12" t="inlineStr">
        <is>
          <t>TBD (F-22)</t>
        </is>
      </c>
      <c r="F71" s="12" t="inlineStr">
        <is>
          <t>not chosen yet</t>
        </is>
      </c>
      <c r="G71" s="12" t="inlineStr">
        <is>
          <t>R90</t>
        </is>
      </c>
      <c r="H71" s="12" t="n">
        <v>1</v>
      </c>
      <c r="I71" s="12">
        <f>$C$5</f>
        <v/>
      </c>
      <c r="J71" s="12">
        <f>H71*$C$3+I71</f>
        <v/>
      </c>
      <c r="K71" s="18" t="n"/>
      <c r="L71" s="14">
        <f>IF(K71="","",K71*$C$4)</f>
        <v/>
      </c>
      <c r="M71" s="15" t="n"/>
      <c r="N71" s="15" t="n"/>
      <c r="O71" s="15" t="n"/>
      <c r="P71" s="14">
        <f>IF(COUNT(M71:O71)=0,"",MIN(M71:O71))</f>
        <v/>
      </c>
      <c r="Q71" s="12">
        <f>IF(P71="","",INDEX($M$8:$O$8,MATCH(P71,M71:O71,0)))</f>
        <v/>
      </c>
      <c r="R71" s="14">
        <f>IF(P71="","",P71*J71)</f>
        <v/>
      </c>
      <c r="S71" s="16">
        <f>IF(OR(P71="",L71=""),"",P71/L71-1)</f>
        <v/>
      </c>
      <c r="T71" s="12" t="inlineStr">
        <is>
          <t>Equivalent OK (match key specs)</t>
        </is>
      </c>
      <c r="U71" s="12" t="inlineStr">
        <is>
          <t>1210 size is set by the fault calculation (design log F-22). Part number not yet chosen.</t>
        </is>
      </c>
    </row>
    <row r="72">
      <c r="A72" s="12" t="n">
        <v>56</v>
      </c>
      <c r="B72" s="12" t="inlineStr">
        <is>
          <t>100R</t>
        </is>
      </c>
      <c r="C72" s="12" t="inlineStr">
        <is>
          <t>0805</t>
        </is>
      </c>
      <c r="D72" s="12" t="inlineStr">
        <is>
          <t>100 Ω 1% 0805</t>
        </is>
      </c>
      <c r="E72" s="12" t="inlineStr">
        <is>
          <t>C17408</t>
        </is>
      </c>
      <c r="F72" s="12" t="inlineStr">
        <is>
          <t>C17408</t>
        </is>
      </c>
      <c r="G72" s="12" t="inlineStr">
        <is>
          <t>R23, R24</t>
        </is>
      </c>
      <c r="H72" s="12" t="n">
        <v>2</v>
      </c>
      <c r="I72" s="12">
        <f>$C$5</f>
        <v/>
      </c>
      <c r="J72" s="12">
        <f>H72*$C$3+I72</f>
        <v/>
      </c>
      <c r="K72" s="18" t="n"/>
      <c r="L72" s="14">
        <f>IF(K72="","",K72*$C$4)</f>
        <v/>
      </c>
      <c r="M72" s="15" t="n"/>
      <c r="N72" s="15" t="n"/>
      <c r="O72" s="15" t="n"/>
      <c r="P72" s="14">
        <f>IF(COUNT(M72:O72)=0,"",MIN(M72:O72))</f>
        <v/>
      </c>
      <c r="Q72" s="12">
        <f>IF(P72="","",INDEX($M$8:$O$8,MATCH(P72,M72:O72,0)))</f>
        <v/>
      </c>
      <c r="R72" s="14">
        <f>IF(P72="","",P72*J72)</f>
        <v/>
      </c>
      <c r="S72" s="16">
        <f>IF(OR(P72="",L72=""),"",P72/L72-1)</f>
        <v/>
      </c>
      <c r="T72" s="12" t="inlineStr">
        <is>
          <t>Generic OK</t>
        </is>
      </c>
      <c r="U72" s="12" t="inlineStr"/>
    </row>
    <row r="73">
      <c r="A73" s="12" t="n">
        <v>57</v>
      </c>
      <c r="B73" s="12" t="inlineStr">
        <is>
          <t>536R</t>
        </is>
      </c>
      <c r="C73" s="12" t="inlineStr">
        <is>
          <t>0805</t>
        </is>
      </c>
      <c r="D73" s="12" t="inlineStr">
        <is>
          <t>536 Ω 1% 0805</t>
        </is>
      </c>
      <c r="E73" s="12" t="inlineStr">
        <is>
          <t>TBD (F-5)</t>
        </is>
      </c>
      <c r="F73" s="12" t="inlineStr">
        <is>
          <t>not chosen yet</t>
        </is>
      </c>
      <c r="G73" s="12" t="inlineStr">
        <is>
          <t>R86</t>
        </is>
      </c>
      <c r="H73" s="12" t="n">
        <v>1</v>
      </c>
      <c r="I73" s="12">
        <f>$C$5</f>
        <v/>
      </c>
      <c r="J73" s="12">
        <f>H73*$C$3+I73</f>
        <v/>
      </c>
      <c r="K73" s="18" t="n"/>
      <c r="L73" s="14">
        <f>IF(K73="","",K73*$C$4)</f>
        <v/>
      </c>
      <c r="M73" s="15" t="n"/>
      <c r="N73" s="15" t="n"/>
      <c r="O73" s="15" t="n"/>
      <c r="P73" s="14">
        <f>IF(COUNT(M73:O73)=0,"",MIN(M73:O73))</f>
        <v/>
      </c>
      <c r="Q73" s="12">
        <f>IF(P73="","",INDEX($M$8:$O$8,MATCH(P73,M73:O73,0)))</f>
        <v/>
      </c>
      <c r="R73" s="14">
        <f>IF(P73="","",P73*J73)</f>
        <v/>
      </c>
      <c r="S73" s="16">
        <f>IF(OR(P73="",L73=""),"",P73/L73-1)</f>
        <v/>
      </c>
      <c r="T73" s="12" t="inlineStr">
        <is>
          <t>Generic OK</t>
        </is>
      </c>
      <c r="U73" s="12" t="inlineStr">
        <is>
          <t>Value provisional (design log F-5). Confirm before buying. E96 value: 1% tolerance needed.</t>
        </is>
      </c>
    </row>
    <row r="74">
      <c r="A74" s="12" t="n">
        <v>58</v>
      </c>
      <c r="B74" s="12" t="inlineStr">
        <is>
          <t>976R</t>
        </is>
      </c>
      <c r="C74" s="12" t="inlineStr">
        <is>
          <t>0805</t>
        </is>
      </c>
      <c r="D74" s="12" t="inlineStr">
        <is>
          <t>976 Ω 1% 0805</t>
        </is>
      </c>
      <c r="E74" s="12" t="inlineStr">
        <is>
          <t>TBD (F-5)</t>
        </is>
      </c>
      <c r="F74" s="12" t="inlineStr">
        <is>
          <t>not chosen yet</t>
        </is>
      </c>
      <c r="G74" s="12" t="inlineStr">
        <is>
          <t>R85</t>
        </is>
      </c>
      <c r="H74" s="12" t="n">
        <v>1</v>
      </c>
      <c r="I74" s="12">
        <f>$C$5</f>
        <v/>
      </c>
      <c r="J74" s="12">
        <f>H74*$C$3+I74</f>
        <v/>
      </c>
      <c r="K74" s="18" t="n"/>
      <c r="L74" s="14">
        <f>IF(K74="","",K74*$C$4)</f>
        <v/>
      </c>
      <c r="M74" s="15" t="n"/>
      <c r="N74" s="15" t="n"/>
      <c r="O74" s="15" t="n"/>
      <c r="P74" s="14">
        <f>IF(COUNT(M74:O74)=0,"",MIN(M74:O74))</f>
        <v/>
      </c>
      <c r="Q74" s="12">
        <f>IF(P74="","",INDEX($M$8:$O$8,MATCH(P74,M74:O74,0)))</f>
        <v/>
      </c>
      <c r="R74" s="14">
        <f>IF(P74="","",P74*J74)</f>
        <v/>
      </c>
      <c r="S74" s="16">
        <f>IF(OR(P74="",L74=""),"",P74/L74-1)</f>
        <v/>
      </c>
      <c r="T74" s="12" t="inlineStr">
        <is>
          <t>Generic OK</t>
        </is>
      </c>
      <c r="U74" s="12" t="inlineStr">
        <is>
          <t>Value provisional (design log F-5). Confirm before buying. E96 value: 1% tolerance needed.</t>
        </is>
      </c>
    </row>
    <row r="75">
      <c r="A75" s="12" t="n">
        <v>59</v>
      </c>
      <c r="B75" s="12" t="inlineStr">
        <is>
          <t>1k</t>
        </is>
      </c>
      <c r="C75" s="12" t="inlineStr">
        <is>
          <t>0805</t>
        </is>
      </c>
      <c r="D75" s="12" t="inlineStr">
        <is>
          <t>1 kΩ 1% 0805</t>
        </is>
      </c>
      <c r="E75" s="12" t="inlineStr">
        <is>
          <t>C17513</t>
        </is>
      </c>
      <c r="F75" s="12" t="inlineStr">
        <is>
          <t>C17513</t>
        </is>
      </c>
      <c r="G75" s="12" t="inlineStr">
        <is>
          <t>R4, R6, R65</t>
        </is>
      </c>
      <c r="H75" s="12" t="n">
        <v>3</v>
      </c>
      <c r="I75" s="12">
        <f>$C$5</f>
        <v/>
      </c>
      <c r="J75" s="12">
        <f>H75*$C$3+I75</f>
        <v/>
      </c>
      <c r="K75" s="18" t="n"/>
      <c r="L75" s="14">
        <f>IF(K75="","",K75*$C$4)</f>
        <v/>
      </c>
      <c r="M75" s="15" t="n"/>
      <c r="N75" s="15" t="n"/>
      <c r="O75" s="15" t="n"/>
      <c r="P75" s="14">
        <f>IF(COUNT(M75:O75)=0,"",MIN(M75:O75))</f>
        <v/>
      </c>
      <c r="Q75" s="12">
        <f>IF(P75="","",INDEX($M$8:$O$8,MATCH(P75,M75:O75,0)))</f>
        <v/>
      </c>
      <c r="R75" s="14">
        <f>IF(P75="","",P75*J75)</f>
        <v/>
      </c>
      <c r="S75" s="16">
        <f>IF(OR(P75="",L75=""),"",P75/L75-1)</f>
        <v/>
      </c>
      <c r="T75" s="12" t="inlineStr">
        <is>
          <t>Generic OK</t>
        </is>
      </c>
      <c r="U75" s="12" t="inlineStr"/>
    </row>
    <row r="76">
      <c r="A76" s="12" t="n">
        <v>60</v>
      </c>
      <c r="B76" s="12" t="inlineStr">
        <is>
          <t>1.5k</t>
        </is>
      </c>
      <c r="C76" s="12" t="inlineStr">
        <is>
          <t>0805</t>
        </is>
      </c>
      <c r="D76" s="12" t="inlineStr">
        <is>
          <t>1.5 kΩ 1% 0805</t>
        </is>
      </c>
      <c r="E76" s="12" t="inlineStr">
        <is>
          <t>TBD (F-5)</t>
        </is>
      </c>
      <c r="F76" s="12" t="inlineStr">
        <is>
          <t>not chosen yet</t>
        </is>
      </c>
      <c r="G76" s="12" t="inlineStr">
        <is>
          <t>R84</t>
        </is>
      </c>
      <c r="H76" s="12" t="n">
        <v>1</v>
      </c>
      <c r="I76" s="12">
        <f>$C$5</f>
        <v/>
      </c>
      <c r="J76" s="12">
        <f>H76*$C$3+I76</f>
        <v/>
      </c>
      <c r="K76" s="18" t="n"/>
      <c r="L76" s="14">
        <f>IF(K76="","",K76*$C$4)</f>
        <v/>
      </c>
      <c r="M76" s="15" t="n"/>
      <c r="N76" s="15" t="n"/>
      <c r="O76" s="15" t="n"/>
      <c r="P76" s="14">
        <f>IF(COUNT(M76:O76)=0,"",MIN(M76:O76))</f>
        <v/>
      </c>
      <c r="Q76" s="12">
        <f>IF(P76="","",INDEX($M$8:$O$8,MATCH(P76,M76:O76,0)))</f>
        <v/>
      </c>
      <c r="R76" s="14">
        <f>IF(P76="","",P76*J76)</f>
        <v/>
      </c>
      <c r="S76" s="16">
        <f>IF(OR(P76="",L76=""),"",P76/L76-1)</f>
        <v/>
      </c>
      <c r="T76" s="12" t="inlineStr">
        <is>
          <t>Generic OK</t>
        </is>
      </c>
      <c r="U76" s="12" t="inlineStr">
        <is>
          <t>Value provisional (design log F-5). Confirm before buying.</t>
        </is>
      </c>
    </row>
    <row r="77">
      <c r="A77" s="12" t="n">
        <v>61</v>
      </c>
      <c r="B77" s="12" t="inlineStr">
        <is>
          <t>2.2k</t>
        </is>
      </c>
      <c r="C77" s="12" t="inlineStr">
        <is>
          <t>0805</t>
        </is>
      </c>
      <c r="D77" s="12" t="inlineStr">
        <is>
          <t>2.2 kΩ 1% 0805</t>
        </is>
      </c>
      <c r="E77" s="12" t="inlineStr">
        <is>
          <t>C4356</t>
        </is>
      </c>
      <c r="F77" s="12" t="inlineStr">
        <is>
          <t>C4356</t>
        </is>
      </c>
      <c r="G77" s="12" t="inlineStr">
        <is>
          <t>R7, R8, R45, R49</t>
        </is>
      </c>
      <c r="H77" s="12" t="n">
        <v>4</v>
      </c>
      <c r="I77" s="12">
        <f>$C$5</f>
        <v/>
      </c>
      <c r="J77" s="12">
        <f>H77*$C$3+I77</f>
        <v/>
      </c>
      <c r="K77" s="18" t="n"/>
      <c r="L77" s="14">
        <f>IF(K77="","",K77*$C$4)</f>
        <v/>
      </c>
      <c r="M77" s="15" t="n"/>
      <c r="N77" s="15" t="n"/>
      <c r="O77" s="15" t="n"/>
      <c r="P77" s="14">
        <f>IF(COUNT(M77:O77)=0,"",MIN(M77:O77))</f>
        <v/>
      </c>
      <c r="Q77" s="12">
        <f>IF(P77="","",INDEX($M$8:$O$8,MATCH(P77,M77:O77,0)))</f>
        <v/>
      </c>
      <c r="R77" s="14">
        <f>IF(P77="","",P77*J77)</f>
        <v/>
      </c>
      <c r="S77" s="16">
        <f>IF(OR(P77="",L77=""),"",P77/L77-1)</f>
        <v/>
      </c>
      <c r="T77" s="12" t="inlineStr">
        <is>
          <t>Generic OK</t>
        </is>
      </c>
      <c r="U77" s="12" t="inlineStr"/>
    </row>
    <row r="78">
      <c r="A78" s="12" t="n">
        <v>62</v>
      </c>
      <c r="B78" s="12" t="inlineStr">
        <is>
          <t>4.3k</t>
        </is>
      </c>
      <c r="C78" s="12" t="inlineStr">
        <is>
          <t>0805</t>
        </is>
      </c>
      <c r="D78" s="12" t="inlineStr">
        <is>
          <t>4.3 kΩ 1% 0805</t>
        </is>
      </c>
      <c r="E78" s="12" t="inlineStr">
        <is>
          <t>TBD (F-5)</t>
        </is>
      </c>
      <c r="F78" s="12" t="inlineStr">
        <is>
          <t>not chosen yet</t>
        </is>
      </c>
      <c r="G78" s="12" t="inlineStr">
        <is>
          <t>R83</t>
        </is>
      </c>
      <c r="H78" s="12" t="n">
        <v>1</v>
      </c>
      <c r="I78" s="12">
        <f>$C$5</f>
        <v/>
      </c>
      <c r="J78" s="12">
        <f>H78*$C$3+I78</f>
        <v/>
      </c>
      <c r="K78" s="18" t="n"/>
      <c r="L78" s="14">
        <f>IF(K78="","",K78*$C$4)</f>
        <v/>
      </c>
      <c r="M78" s="15" t="n"/>
      <c r="N78" s="15" t="n"/>
      <c r="O78" s="15" t="n"/>
      <c r="P78" s="14">
        <f>IF(COUNT(M78:O78)=0,"",MIN(M78:O78))</f>
        <v/>
      </c>
      <c r="Q78" s="12">
        <f>IF(P78="","",INDEX($M$8:$O$8,MATCH(P78,M78:O78,0)))</f>
        <v/>
      </c>
      <c r="R78" s="14">
        <f>IF(P78="","",P78*J78)</f>
        <v/>
      </c>
      <c r="S78" s="16">
        <f>IF(OR(P78="",L78=""),"",P78/L78-1)</f>
        <v/>
      </c>
      <c r="T78" s="12" t="inlineStr">
        <is>
          <t>Generic OK</t>
        </is>
      </c>
      <c r="U78" s="12" t="inlineStr">
        <is>
          <t>Value provisional (design log F-5). Confirm before buying.</t>
        </is>
      </c>
    </row>
    <row r="79">
      <c r="A79" s="12" t="n">
        <v>63</v>
      </c>
      <c r="B79" s="12" t="inlineStr">
        <is>
          <t>4.7k</t>
        </is>
      </c>
      <c r="C79" s="12" t="inlineStr">
        <is>
          <t>0805</t>
        </is>
      </c>
      <c r="D79" s="12" t="inlineStr">
        <is>
          <t>4.7 kΩ 1% 0805</t>
        </is>
      </c>
      <c r="E79" s="12" t="inlineStr">
        <is>
          <t>C17673</t>
        </is>
      </c>
      <c r="F79" s="12" t="inlineStr">
        <is>
          <t>C17673</t>
        </is>
      </c>
      <c r="G79" s="12" t="inlineStr">
        <is>
          <t>R5, R42, R46, R53, R55, R57, R59, R64</t>
        </is>
      </c>
      <c r="H79" s="12" t="n">
        <v>8</v>
      </c>
      <c r="I79" s="12">
        <f>$C$5</f>
        <v/>
      </c>
      <c r="J79" s="12">
        <f>H79*$C$3+I79</f>
        <v/>
      </c>
      <c r="K79" s="18" t="n"/>
      <c r="L79" s="14">
        <f>IF(K79="","",K79*$C$4)</f>
        <v/>
      </c>
      <c r="M79" s="15" t="n"/>
      <c r="N79" s="15" t="n"/>
      <c r="O79" s="15" t="n"/>
      <c r="P79" s="14">
        <f>IF(COUNT(M79:O79)=0,"",MIN(M79:O79))</f>
        <v/>
      </c>
      <c r="Q79" s="12">
        <f>IF(P79="","",INDEX($M$8:$O$8,MATCH(P79,M79:O79,0)))</f>
        <v/>
      </c>
      <c r="R79" s="14">
        <f>IF(P79="","",P79*J79)</f>
        <v/>
      </c>
      <c r="S79" s="16">
        <f>IF(OR(P79="",L79=""),"",P79/L79-1)</f>
        <v/>
      </c>
      <c r="T79" s="12" t="inlineStr">
        <is>
          <t>Generic OK</t>
        </is>
      </c>
      <c r="U79" s="12" t="inlineStr"/>
    </row>
    <row r="80">
      <c r="A80" s="12" t="n">
        <v>64</v>
      </c>
      <c r="B80" s="12" t="inlineStr">
        <is>
          <t>5.23k</t>
        </is>
      </c>
      <c r="C80" s="12" t="inlineStr">
        <is>
          <t>0805</t>
        </is>
      </c>
      <c r="D80" s="12" t="inlineStr">
        <is>
          <t>5.23 kΩ 1% 0805</t>
        </is>
      </c>
      <c r="E80" s="12" t="inlineStr">
        <is>
          <t>TBD (F-5)</t>
        </is>
      </c>
      <c r="F80" s="12" t="inlineStr">
        <is>
          <t>not chosen yet</t>
        </is>
      </c>
      <c r="G80" s="12" t="inlineStr">
        <is>
          <t>R88</t>
        </is>
      </c>
      <c r="H80" s="12" t="n">
        <v>1</v>
      </c>
      <c r="I80" s="12">
        <f>$C$5</f>
        <v/>
      </c>
      <c r="J80" s="12">
        <f>H80*$C$3+I80</f>
        <v/>
      </c>
      <c r="K80" s="18" t="n"/>
      <c r="L80" s="14">
        <f>IF(K80="","",K80*$C$4)</f>
        <v/>
      </c>
      <c r="M80" s="15" t="n"/>
      <c r="N80" s="15" t="n"/>
      <c r="O80" s="15" t="n"/>
      <c r="P80" s="14">
        <f>IF(COUNT(M80:O80)=0,"",MIN(M80:O80))</f>
        <v/>
      </c>
      <c r="Q80" s="12">
        <f>IF(P80="","",INDEX($M$8:$O$8,MATCH(P80,M80:O80,0)))</f>
        <v/>
      </c>
      <c r="R80" s="14">
        <f>IF(P80="","",P80*J80)</f>
        <v/>
      </c>
      <c r="S80" s="16">
        <f>IF(OR(P80="",L80=""),"",P80/L80-1)</f>
        <v/>
      </c>
      <c r="T80" s="12" t="inlineStr">
        <is>
          <t>Generic OK</t>
        </is>
      </c>
      <c r="U80" s="12" t="inlineStr">
        <is>
          <t>Value provisional (design log F-5). Confirm before buying. E96 value: 1% tolerance needed.</t>
        </is>
      </c>
    </row>
    <row r="81">
      <c r="A81" s="12" t="n">
        <v>65</v>
      </c>
      <c r="B81" s="12" t="inlineStr">
        <is>
          <t>9.1k</t>
        </is>
      </c>
      <c r="C81" s="12" t="inlineStr">
        <is>
          <t>0805</t>
        </is>
      </c>
      <c r="D81" s="12" t="inlineStr">
        <is>
          <t>9.1 kΩ 1% 0805</t>
        </is>
      </c>
      <c r="E81" s="12" t="inlineStr">
        <is>
          <t>C17855</t>
        </is>
      </c>
      <c r="F81" s="12" t="inlineStr">
        <is>
          <t>C17855</t>
        </is>
      </c>
      <c r="G81" s="12" t="inlineStr">
        <is>
          <t>R36, R37</t>
        </is>
      </c>
      <c r="H81" s="12" t="n">
        <v>2</v>
      </c>
      <c r="I81" s="12">
        <f>$C$5</f>
        <v/>
      </c>
      <c r="J81" s="12">
        <f>H81*$C$3+I81</f>
        <v/>
      </c>
      <c r="K81" s="18" t="n"/>
      <c r="L81" s="14">
        <f>IF(K81="","",K81*$C$4)</f>
        <v/>
      </c>
      <c r="M81" s="15" t="n"/>
      <c r="N81" s="15" t="n"/>
      <c r="O81" s="15" t="n"/>
      <c r="P81" s="14">
        <f>IF(COUNT(M81:O81)=0,"",MIN(M81:O81))</f>
        <v/>
      </c>
      <c r="Q81" s="12">
        <f>IF(P81="","",INDEX($M$8:$O$8,MATCH(P81,M81:O81,0)))</f>
        <v/>
      </c>
      <c r="R81" s="14">
        <f>IF(P81="","",P81*J81)</f>
        <v/>
      </c>
      <c r="S81" s="16">
        <f>IF(OR(P81="",L81=""),"",P81/L81-1)</f>
        <v/>
      </c>
      <c r="T81" s="12" t="inlineStr">
        <is>
          <t>Generic OK</t>
        </is>
      </c>
      <c r="U81" s="12" t="inlineStr"/>
    </row>
    <row r="82">
      <c r="A82" s="12" t="n">
        <v>66</v>
      </c>
      <c r="B82" s="12" t="inlineStr">
        <is>
          <t>10k</t>
        </is>
      </c>
      <c r="C82" s="12" t="inlineStr">
        <is>
          <t>0805</t>
        </is>
      </c>
      <c r="D82" s="12" t="inlineStr">
        <is>
          <t>10 kΩ 1% 0805</t>
        </is>
      </c>
      <c r="E82" s="12" t="inlineStr">
        <is>
          <t>C17414</t>
        </is>
      </c>
      <c r="F82" s="12" t="inlineStr">
        <is>
          <t>C17414</t>
        </is>
      </c>
      <c r="G82" s="12" t="inlineStr">
        <is>
          <t>R1, R2, R25, R26, R43, R44, R47, R48, R51, R62, R87</t>
        </is>
      </c>
      <c r="H82" s="12" t="n">
        <v>11</v>
      </c>
      <c r="I82" s="12">
        <f>$C$5</f>
        <v/>
      </c>
      <c r="J82" s="12">
        <f>H82*$C$3+I82</f>
        <v/>
      </c>
      <c r="K82" s="18" t="n"/>
      <c r="L82" s="14">
        <f>IF(K82="","",K82*$C$4)</f>
        <v/>
      </c>
      <c r="M82" s="15" t="n"/>
      <c r="N82" s="15" t="n"/>
      <c r="O82" s="15" t="n"/>
      <c r="P82" s="14">
        <f>IF(COUNT(M82:O82)=0,"",MIN(M82:O82))</f>
        <v/>
      </c>
      <c r="Q82" s="12">
        <f>IF(P82="","",INDEX($M$8:$O$8,MATCH(P82,M82:O82,0)))</f>
        <v/>
      </c>
      <c r="R82" s="14">
        <f>IF(P82="","",P82*J82)</f>
        <v/>
      </c>
      <c r="S82" s="16">
        <f>IF(OR(P82="",L82=""),"",P82/L82-1)</f>
        <v/>
      </c>
      <c r="T82" s="12" t="inlineStr">
        <is>
          <t>Generic OK</t>
        </is>
      </c>
      <c r="U82" s="12" t="inlineStr"/>
    </row>
    <row r="83">
      <c r="A83" s="12" t="n">
        <v>67</v>
      </c>
      <c r="B83" s="12" t="inlineStr">
        <is>
          <t>12k</t>
        </is>
      </c>
      <c r="C83" s="12" t="inlineStr">
        <is>
          <t>1206</t>
        </is>
      </c>
      <c r="D83" s="12" t="inlineStr">
        <is>
          <t>12 kΩ 1% 1206 250 mW</t>
        </is>
      </c>
      <c r="E83" s="12" t="inlineStr">
        <is>
          <t>UNI-ROYAL 1206W4F1202T5E</t>
        </is>
      </c>
      <c r="F83" s="12" t="inlineStr">
        <is>
          <t>C17912</t>
        </is>
      </c>
      <c r="G83" s="12" t="inlineStr">
        <is>
          <t>R14, R15, R16, R17, R18, R19</t>
        </is>
      </c>
      <c r="H83" s="12" t="n">
        <v>6</v>
      </c>
      <c r="I83" s="12">
        <f>$C$5</f>
        <v/>
      </c>
      <c r="J83" s="12">
        <f>H83*$C$3+I83</f>
        <v/>
      </c>
      <c r="K83" s="18" t="n"/>
      <c r="L83" s="14">
        <f>IF(K83="","",K83*$C$4)</f>
        <v/>
      </c>
      <c r="M83" s="15" t="n"/>
      <c r="N83" s="15" t="n"/>
      <c r="O83" s="15" t="n"/>
      <c r="P83" s="14">
        <f>IF(COUNT(M83:O83)=0,"",MIN(M83:O83))</f>
        <v/>
      </c>
      <c r="Q83" s="12">
        <f>IF(P83="","",INDEX($M$8:$O$8,MATCH(P83,M83:O83,0)))</f>
        <v/>
      </c>
      <c r="R83" s="14">
        <f>IF(P83="","",P83*J83)</f>
        <v/>
      </c>
      <c r="S83" s="16">
        <f>IF(OR(P83="",L83=""),"",P83/L83-1)</f>
        <v/>
      </c>
      <c r="T83" s="12" t="inlineStr">
        <is>
          <t>Equivalent OK (match key specs)</t>
        </is>
      </c>
      <c r="U83" s="12" t="inlineStr">
        <is>
          <t>1206 size is needed for voltage/power (up to 100 V input). Do not use 0805.</t>
        </is>
      </c>
    </row>
    <row r="84">
      <c r="A84" s="12" t="n">
        <v>68</v>
      </c>
      <c r="B84" s="12" t="inlineStr">
        <is>
          <t>30.1k</t>
        </is>
      </c>
      <c r="C84" s="12" t="inlineStr">
        <is>
          <t>0805</t>
        </is>
      </c>
      <c r="D84" s="12" t="inlineStr">
        <is>
          <t>30.1 kΩ 1% 0805</t>
        </is>
      </c>
      <c r="E84" s="12" t="inlineStr">
        <is>
          <t>TBD (F-5)</t>
        </is>
      </c>
      <c r="F84" s="12" t="inlineStr">
        <is>
          <t>not chosen yet</t>
        </is>
      </c>
      <c r="G84" s="12" t="inlineStr">
        <is>
          <t>R89</t>
        </is>
      </c>
      <c r="H84" s="12" t="n">
        <v>1</v>
      </c>
      <c r="I84" s="12">
        <f>$C$5</f>
        <v/>
      </c>
      <c r="J84" s="12">
        <f>H84*$C$3+I84</f>
        <v/>
      </c>
      <c r="K84" s="18" t="n"/>
      <c r="L84" s="14">
        <f>IF(K84="","",K84*$C$4)</f>
        <v/>
      </c>
      <c r="M84" s="15" t="n"/>
      <c r="N84" s="15" t="n"/>
      <c r="O84" s="15" t="n"/>
      <c r="P84" s="14">
        <f>IF(COUNT(M84:O84)=0,"",MIN(M84:O84))</f>
        <v/>
      </c>
      <c r="Q84" s="12">
        <f>IF(P84="","",INDEX($M$8:$O$8,MATCH(P84,M84:O84,0)))</f>
        <v/>
      </c>
      <c r="R84" s="14">
        <f>IF(P84="","",P84*J84)</f>
        <v/>
      </c>
      <c r="S84" s="16">
        <f>IF(OR(P84="",L84=""),"",P84/L84-1)</f>
        <v/>
      </c>
      <c r="T84" s="12" t="inlineStr">
        <is>
          <t>Generic OK</t>
        </is>
      </c>
      <c r="U84" s="12" t="inlineStr">
        <is>
          <t>Value provisional (design log F-5). Confirm before buying. E96 value: 1% tolerance needed.</t>
        </is>
      </c>
    </row>
    <row r="85">
      <c r="A85" s="12" t="n">
        <v>69</v>
      </c>
      <c r="B85" s="19" t="inlineStr">
        <is>
          <t>47k</t>
        </is>
      </c>
      <c r="C85" s="12" t="inlineStr">
        <is>
          <t>0805</t>
        </is>
      </c>
      <c r="D85" s="12" t="inlineStr">
        <is>
          <t>47 kΩ 1% 0805</t>
        </is>
      </c>
      <c r="E85" s="12" t="inlineStr">
        <is>
          <t>UNI-ROYAL 0805W8F4702T5E (C17713)</t>
        </is>
      </c>
      <c r="F85" s="12" t="inlineStr">
        <is>
          <t>C17713 (R56/R58 show C17414)</t>
        </is>
      </c>
      <c r="G85" s="12" t="inlineStr">
        <is>
          <t>R21, R22, R52, R54, R56, R58, R60, R61, R63</t>
        </is>
      </c>
      <c r="H85" s="12" t="n">
        <v>9</v>
      </c>
      <c r="I85" s="12">
        <f>$C$5</f>
        <v/>
      </c>
      <c r="J85" s="12">
        <f>H85*$C$3+I85</f>
        <v/>
      </c>
      <c r="K85" s="18" t="n"/>
      <c r="L85" s="14">
        <f>IF(K85="","",K85*$C$4)</f>
        <v/>
      </c>
      <c r="M85" s="15" t="n"/>
      <c r="N85" s="15" t="n"/>
      <c r="O85" s="15" t="n"/>
      <c r="P85" s="14">
        <f>IF(COUNT(M85:O85)=0,"",MIN(M85:O85))</f>
        <v/>
      </c>
      <c r="Q85" s="12">
        <f>IF(P85="","",INDEX($M$8:$O$8,MATCH(P85,M85:O85,0)))</f>
        <v/>
      </c>
      <c r="R85" s="14">
        <f>IF(P85="","",P85*J85)</f>
        <v/>
      </c>
      <c r="S85" s="16">
        <f>IF(OR(P85="",L85=""),"",P85/L85-1)</f>
        <v/>
      </c>
      <c r="T85" s="12" t="inlineStr">
        <is>
          <t>Generic OK</t>
        </is>
      </c>
      <c r="U85" s="19" t="inlineStr">
        <is>
          <t>R56 and R58 carry C17414 (10 kΩ) by mistake. Buy 47 kΩ for them too.</t>
        </is>
      </c>
    </row>
    <row r="86">
      <c r="A86" s="12" t="n">
        <v>70</v>
      </c>
      <c r="B86" s="12" t="inlineStr">
        <is>
          <t>100k</t>
        </is>
      </c>
      <c r="C86" s="12" t="inlineStr">
        <is>
          <t>0805</t>
        </is>
      </c>
      <c r="D86" s="12" t="inlineStr">
        <is>
          <t>100 kΩ 1% 0805</t>
        </is>
      </c>
      <c r="E86" s="12" t="inlineStr">
        <is>
          <t>C17407</t>
        </is>
      </c>
      <c r="F86" s="12" t="inlineStr">
        <is>
          <t>C17407</t>
        </is>
      </c>
      <c r="G86" s="12" t="inlineStr">
        <is>
          <t>R30, R31, R32, R33, R34, R35, R50, R81</t>
        </is>
      </c>
      <c r="H86" s="12" t="n">
        <v>8</v>
      </c>
      <c r="I86" s="12">
        <f>$C$5</f>
        <v/>
      </c>
      <c r="J86" s="12">
        <f>H86*$C$3+I86</f>
        <v/>
      </c>
      <c r="K86" s="18" t="n"/>
      <c r="L86" s="14">
        <f>IF(K86="","",K86*$C$4)</f>
        <v/>
      </c>
      <c r="M86" s="15" t="n"/>
      <c r="N86" s="15" t="n"/>
      <c r="O86" s="15" t="n"/>
      <c r="P86" s="14">
        <f>IF(COUNT(M86:O86)=0,"",MIN(M86:O86))</f>
        <v/>
      </c>
      <c r="Q86" s="12">
        <f>IF(P86="","",INDEX($M$8:$O$8,MATCH(P86,M86:O86,0)))</f>
        <v/>
      </c>
      <c r="R86" s="14">
        <f>IF(P86="","",P86*J86)</f>
        <v/>
      </c>
      <c r="S86" s="16">
        <f>IF(OR(P86="",L86=""),"",P86/L86-1)</f>
        <v/>
      </c>
      <c r="T86" s="12" t="inlineStr">
        <is>
          <t>Generic OK</t>
        </is>
      </c>
      <c r="U86" s="12" t="inlineStr"/>
    </row>
    <row r="87">
      <c r="A87" s="12" t="n">
        <v>71</v>
      </c>
      <c r="B87" s="12" t="inlineStr">
        <is>
          <t>1M</t>
        </is>
      </c>
      <c r="C87" s="12" t="inlineStr">
        <is>
          <t>0805</t>
        </is>
      </c>
      <c r="D87" s="12" t="inlineStr">
        <is>
          <t>1 MΩ 1% 0805</t>
        </is>
      </c>
      <c r="E87" s="12" t="inlineStr">
        <is>
          <t>C17514</t>
        </is>
      </c>
      <c r="F87" s="12" t="inlineStr">
        <is>
          <t>C17514</t>
        </is>
      </c>
      <c r="G87" s="12" t="inlineStr">
        <is>
          <t>R38, R39</t>
        </is>
      </c>
      <c r="H87" s="12" t="n">
        <v>2</v>
      </c>
      <c r="I87" s="12">
        <f>$C$5</f>
        <v/>
      </c>
      <c r="J87" s="12">
        <f>H87*$C$3+I87</f>
        <v/>
      </c>
      <c r="K87" s="18" t="n"/>
      <c r="L87" s="14">
        <f>IF(K87="","",K87*$C$4)</f>
        <v/>
      </c>
      <c r="M87" s="15" t="n"/>
      <c r="N87" s="15" t="n"/>
      <c r="O87" s="15" t="n"/>
      <c r="P87" s="14">
        <f>IF(COUNT(M87:O87)=0,"",MIN(M87:O87))</f>
        <v/>
      </c>
      <c r="Q87" s="12">
        <f>IF(P87="","",INDEX($M$8:$O$8,MATCH(P87,M87:O87,0)))</f>
        <v/>
      </c>
      <c r="R87" s="14">
        <f>IF(P87="","",P87*J87)</f>
        <v/>
      </c>
      <c r="S87" s="16">
        <f>IF(OR(P87="",L87=""),"",P87/L87-1)</f>
        <v/>
      </c>
      <c r="T87" s="12" t="inlineStr">
        <is>
          <t>Generic OK</t>
        </is>
      </c>
      <c r="U87" s="12" t="inlineStr"/>
    </row>
    <row r="88">
      <c r="A88" s="10" t="inlineStr">
        <is>
          <t>Off-board items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</row>
    <row r="89">
      <c r="A89" s="12" t="n">
        <v>72</v>
      </c>
      <c r="B89" s="12" t="inlineStr">
        <is>
          <t>GNSS antenna</t>
        </is>
      </c>
      <c r="C89" s="12" t="inlineStr">
        <is>
          <t>25x25 mm patch + 120 mm IPEX cable</t>
        </is>
      </c>
      <c r="D89" s="12" t="inlineStr">
        <is>
          <t>ACTIVE GNSS patch, 1.8-3.6 V LNA, IPEX-1, 120 mm</t>
        </is>
      </c>
      <c r="E89" s="12" t="inlineStr">
        <is>
          <t>Bat Wireless BWGNSCNX25-25B1Y4L120</t>
        </is>
      </c>
      <c r="F89" s="12" t="inlineStr">
        <is>
          <t>C784386</t>
        </is>
      </c>
      <c r="G89" s="12" t="inlineStr">
        <is>
          <t>ANT (GNSS)</t>
        </is>
      </c>
      <c r="H89" s="12" t="n">
        <v>1</v>
      </c>
      <c r="I89" s="12">
        <f>$C$5</f>
        <v/>
      </c>
      <c r="J89" s="12">
        <f>H89*$C$3+I89</f>
        <v/>
      </c>
      <c r="K89" s="13" t="n">
        <v>1.53</v>
      </c>
      <c r="L89" s="14">
        <f>IF(K89="","",K89*$C$4)</f>
        <v/>
      </c>
      <c r="M89" s="15" t="n"/>
      <c r="N89" s="15" t="n"/>
      <c r="O89" s="15" t="n"/>
      <c r="P89" s="14">
        <f>IF(COUNT(M89:O89)=0,"",MIN(M89:O89))</f>
        <v/>
      </c>
      <c r="Q89" s="12">
        <f>IF(P89="","",INDEX($M$8:$O$8,MATCH(P89,M89:O89,0)))</f>
        <v/>
      </c>
      <c r="R89" s="14">
        <f>IF(P89="","",P89*J89)</f>
        <v/>
      </c>
      <c r="S89" s="16">
        <f>IF(OR(P89="",L89=""),"",P89/L89-1)</f>
        <v/>
      </c>
      <c r="T89" s="12" t="inlineStr">
        <is>
          <t>Equivalent OK (match key specs)</t>
        </is>
      </c>
      <c r="U89" s="12" t="inlineStr">
        <is>
          <t>Must be an ACTIVE antenna that runs on 3.3 V. Passive patch needs R90/L4 changes.</t>
        </is>
      </c>
    </row>
    <row r="90">
      <c r="A90" s="12" t="n">
        <v>73</v>
      </c>
      <c r="B90" s="12" t="inlineStr">
        <is>
          <t>LTE antenna</t>
        </is>
      </c>
      <c r="C90" s="12" t="inlineStr">
        <is>
          <t>FPC + 120 mm IPEX cable</t>
        </is>
      </c>
      <c r="D90" s="12" t="inlineStr">
        <is>
          <t>LTE FPC antenna 700-2700 MHz, IPEX-1, 120 mm RG1.13</t>
        </is>
      </c>
      <c r="E90" s="12" t="inlineStr">
        <is>
          <t>Bat Wireless BW4GFNX39-15B1</t>
        </is>
      </c>
      <c r="F90" s="12" t="inlineStr">
        <is>
          <t>C496569</t>
        </is>
      </c>
      <c r="G90" s="12" t="inlineStr">
        <is>
          <t>ANT (LTE)</t>
        </is>
      </c>
      <c r="H90" s="12" t="n">
        <v>1</v>
      </c>
      <c r="I90" s="12">
        <f>$C$5</f>
        <v/>
      </c>
      <c r="J90" s="12">
        <f>H90*$C$3+I90</f>
        <v/>
      </c>
      <c r="K90" s="13" t="n">
        <v>0.383</v>
      </c>
      <c r="L90" s="14">
        <f>IF(K90="","",K90*$C$4)</f>
        <v/>
      </c>
      <c r="M90" s="15" t="n"/>
      <c r="N90" s="15" t="n"/>
      <c r="O90" s="15" t="n"/>
      <c r="P90" s="14">
        <f>IF(COUNT(M90:O90)=0,"",MIN(M90:O90))</f>
        <v/>
      </c>
      <c r="Q90" s="12">
        <f>IF(P90="","",INDEX($M$8:$O$8,MATCH(P90,M90:O90,0)))</f>
        <v/>
      </c>
      <c r="R90" s="14">
        <f>IF(P90="","",P90*J90)</f>
        <v/>
      </c>
      <c r="S90" s="16">
        <f>IF(OR(P90="",L90=""),"",P90/L90-1)</f>
        <v/>
      </c>
      <c r="T90" s="12" t="inlineStr">
        <is>
          <t>Equivalent OK (match key specs)</t>
        </is>
      </c>
      <c r="U90" s="12" t="inlineStr">
        <is>
          <t>Cable length and IPEX-1 plug matter for the lid mounting.</t>
        </is>
      </c>
    </row>
    <row r="91">
      <c r="A91" s="12" t="n">
        <v>74</v>
      </c>
      <c r="B91" s="12" t="inlineStr">
        <is>
          <t>Battery</t>
        </is>
      </c>
      <c r="C91" s="12" t="inlineStr">
        <is>
          <t>103450 1S pack + JST-XH 3-pin lead</t>
        </is>
      </c>
      <c r="D91" s="12" t="inlineStr">
        <is>
          <t>1S Li-ion 103450 ~1800 mAh with 10k NTC and JST-XH 3-pin lead</t>
        </is>
      </c>
      <c r="E91" s="12" t="inlineStr">
        <is>
          <t>Indian sourcing (handoff §3)</t>
        </is>
      </c>
      <c r="F91" s="12" t="inlineStr">
        <is>
          <t>-</t>
        </is>
      </c>
      <c r="G91" s="12" t="inlineStr">
        <is>
          <t>BT1</t>
        </is>
      </c>
      <c r="H91" s="12" t="n">
        <v>1</v>
      </c>
      <c r="I91" s="12">
        <f>$C$5</f>
        <v/>
      </c>
      <c r="J91" s="12">
        <f>H91*$C$3+I91</f>
        <v/>
      </c>
      <c r="K91" s="13" t="n">
        <v>1.7</v>
      </c>
      <c r="L91" s="14">
        <f>IF(K91="","",K91*$C$4)</f>
        <v/>
      </c>
      <c r="M91" s="15" t="n"/>
      <c r="N91" s="15" t="n"/>
      <c r="O91" s="15" t="n"/>
      <c r="P91" s="14">
        <f>IF(COUNT(M91:O91)=0,"",MIN(M91:O91))</f>
        <v/>
      </c>
      <c r="Q91" s="12">
        <f>IF(P91="","",INDEX($M$8:$O$8,MATCH(P91,M91:O91,0)))</f>
        <v/>
      </c>
      <c r="R91" s="14">
        <f>IF(P91="","",P91*J91)</f>
        <v/>
      </c>
      <c r="S91" s="16">
        <f>IF(OR(P91="",L91=""),"",P91/L91-1)</f>
        <v/>
      </c>
      <c r="T91" s="12" t="inlineStr">
        <is>
          <t>Equivalent OK (match key specs)</t>
        </is>
      </c>
      <c r="U91" s="12" t="inlineStr">
        <is>
          <t>Needs a built-in NTC (TS pin, JEITA) and protection PCB. Confirm NTC value against R88/R89.</t>
        </is>
      </c>
    </row>
    <row r="93">
      <c r="A93" s="4" t="inlineStr">
        <is>
          <t>TOTALS</t>
        </is>
      </c>
      <c r="G93" s="4" t="inlineStr">
        <is>
          <t>Lines priced locally:</t>
        </is>
      </c>
      <c r="H93" s="4">
        <f>COUNT(P9:P91)&amp;" of "&amp;COUNT(A9:A91)</f>
        <v/>
      </c>
      <c r="J93" s="4" t="inlineStr">
        <is>
          <t>Total ₹</t>
        </is>
      </c>
      <c r="R93" s="20">
        <f>SUM(R9:R91)</f>
        <v/>
      </c>
    </row>
    <row r="94">
      <c r="J94" s="4" t="inlineStr">
        <is>
          <t>Per board ₹</t>
        </is>
      </c>
      <c r="R94" s="20">
        <f>IF($C$3=0,"",R93/$C$3)</f>
        <v/>
      </c>
    </row>
    <row r="95">
      <c r="J95" s="4" t="inlineStr">
        <is>
          <t>Parts per board (incl. antennas, battery)</t>
        </is>
      </c>
      <c r="R95" s="4">
        <f>SUM(H9:H91)</f>
        <v/>
      </c>
    </row>
    <row r="96">
      <c r="A96" s="3" t="inlineStr">
        <is>
          <t>Price columns: 'JLC ref' is indicative USD from the repo docs (Aug-2026, mostly 250-1000 pc breaks). Blank means the repo has no recorded price. Local vs JLC = best local ÷ JLC ref − 1.</t>
        </is>
      </c>
    </row>
  </sheetData>
  <autoFilter ref="A8:U91"/>
  <dataValidations count="1">
    <dataValidation sqref="M9:O9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7" customWidth="1" min="4" max="4"/>
    <col width="9" customWidth="1" min="5" max="5"/>
    <col width="9" customWidth="1" min="6" max="6"/>
    <col width="6" customWidth="1" min="7" max="7"/>
    <col width="9" customWidth="1" min="8" max="8"/>
    <col width="30" customWidth="1" min="9" max="9"/>
    <col width="8" customWidth="1" min="10" max="10"/>
    <col width="9" customWidth="1" min="11" max="11"/>
    <col width="11" customWidth="1" min="12" max="12"/>
    <col width="11" customWidth="1" min="13" max="13"/>
    <col width="8" customWidth="1" min="14" max="14"/>
    <col width="8" customWidth="1" min="15" max="15"/>
    <col width="9" customWidth="1" min="16" max="16"/>
    <col width="11" customWidth="1" min="17" max="17"/>
    <col width="11" customWidth="1" min="18" max="18"/>
  </cols>
  <sheetData>
    <row r="1">
      <c r="A1" s="1" t="inlineStr">
        <is>
          <t>Estimated cost for 1 and 5 boards (LCSC / JLCPCB small-quantity prices)</t>
        </is>
      </c>
    </row>
    <row r="2">
      <c r="A2" s="3" t="inlineStr">
        <is>
          <t>Prices collected 2026-10-02. 'Parts value' = qty used × unit price. 'Order cost' includes LCSC minimum order quantities (MOQ), which is what you actually pay. Shipping, customs duty and GST are NOT included.</t>
        </is>
      </c>
    </row>
    <row r="3">
      <c r="A3" s="4" t="inlineStr">
        <is>
          <t>USD → INR</t>
        </is>
      </c>
      <c r="C3" s="21" t="n">
        <v>96</v>
      </c>
      <c r="D3" s="3" t="inlineStr">
        <is>
          <t>Interbank rate ~₹95.9 on 1-Oct-2026 (apacnewsnetwork.com). Edit if needed.</t>
        </is>
      </c>
    </row>
    <row r="6" ht="44" customHeight="1">
      <c r="A6" s="8" t="inlineStr">
        <is>
          <t>#</t>
        </is>
      </c>
      <c r="B6" s="8" t="inlineStr">
        <is>
          <t>Part</t>
        </is>
      </c>
      <c r="C6" s="8" t="inlineStr">
        <is>
          <t>Refs</t>
        </is>
      </c>
      <c r="D6" s="8" t="inlineStr">
        <is>
          <t>Qty / board</t>
        </is>
      </c>
      <c r="E6" s="8" t="inlineStr">
        <is>
          <t>Unit $ @1</t>
        </is>
      </c>
      <c r="F6" s="8" t="inlineStr">
        <is>
          <t>Unit $ @10</t>
        </is>
      </c>
      <c r="G6" s="8" t="inlineStr">
        <is>
          <t>MOQ</t>
        </is>
      </c>
      <c r="H6" s="8" t="inlineStr">
        <is>
          <t>Price status</t>
        </is>
      </c>
      <c r="I6" s="8" t="inlineStr">
        <is>
          <t>Source</t>
        </is>
      </c>
      <c r="J6" s="8" t="inlineStr">
        <is>
          <t>1 board: buy qty</t>
        </is>
      </c>
      <c r="K6" s="8" t="inlineStr">
        <is>
          <t>1 board: unit $</t>
        </is>
      </c>
      <c r="L6" s="8" t="inlineStr">
        <is>
          <t>1 board parts value ₹</t>
        </is>
      </c>
      <c r="M6" s="8" t="inlineStr">
        <is>
          <t>1 board order cost ₹</t>
        </is>
      </c>
      <c r="N6" s="8" t="inlineStr">
        <is>
          <t>5 boards: need</t>
        </is>
      </c>
      <c r="O6" s="8" t="inlineStr">
        <is>
          <t>5 boards: buy qty</t>
        </is>
      </c>
      <c r="P6" s="8" t="inlineStr">
        <is>
          <t>5 boards: unit $</t>
        </is>
      </c>
      <c r="Q6" s="8" t="inlineStr">
        <is>
          <t>5 boards parts value ₹</t>
        </is>
      </c>
      <c r="R6" s="8" t="inlineStr">
        <is>
          <t>5 boards order cost ₹</t>
        </is>
      </c>
    </row>
    <row r="7">
      <c r="A7" s="22" t="n">
        <v>1</v>
      </c>
      <c r="B7" s="12" t="inlineStr">
        <is>
          <t>EC200UCNAA-N05-SGNSA</t>
        </is>
      </c>
      <c r="C7" s="12" t="inlineStr">
        <is>
          <t>U1</t>
        </is>
      </c>
      <c r="D7" s="22" t="n">
        <v>1</v>
      </c>
      <c r="E7" s="23" t="n">
        <v>13.65</v>
      </c>
      <c r="F7" s="23" t="n">
        <v>11.54</v>
      </c>
      <c r="G7" s="24" t="n">
        <v>1</v>
      </c>
      <c r="H7" s="22" t="inlineStr">
        <is>
          <t>live</t>
        </is>
      </c>
      <c r="I7" s="12" t="inlineStr">
        <is>
          <t>JLCPCB C2916205</t>
        </is>
      </c>
      <c r="J7" s="22">
        <f>MAX(D7,G7)</f>
        <v/>
      </c>
      <c r="K7" s="25">
        <f>E7</f>
        <v/>
      </c>
      <c r="L7" s="26">
        <f>D7*K7*$C$3</f>
        <v/>
      </c>
      <c r="M7" s="26">
        <f>J7*K7*$C$3</f>
        <v/>
      </c>
      <c r="N7" s="22">
        <f>D7*5</f>
        <v/>
      </c>
      <c r="O7" s="22">
        <f>MAX(N7,G7)</f>
        <v/>
      </c>
      <c r="P7" s="25">
        <f>IF(O7&gt;=10,F7,E7)</f>
        <v/>
      </c>
      <c r="Q7" s="26">
        <f>N7*P7*$C$3</f>
        <v/>
      </c>
      <c r="R7" s="26">
        <f>O7*P7*$C$3</f>
        <v/>
      </c>
    </row>
    <row r="8">
      <c r="A8" s="22" t="n">
        <v>2</v>
      </c>
      <c r="B8" s="12" t="inlineStr">
        <is>
          <t>AT32F403ACGT7</t>
        </is>
      </c>
      <c r="C8" s="12" t="inlineStr">
        <is>
          <t>U2</t>
        </is>
      </c>
      <c r="D8" s="22" t="n">
        <v>1</v>
      </c>
      <c r="E8" s="23" t="n">
        <v>2.1686</v>
      </c>
      <c r="F8" s="23" t="n">
        <v>1.938</v>
      </c>
      <c r="G8" s="24" t="n">
        <v>1</v>
      </c>
      <c r="H8" s="27" t="inlineStr">
        <is>
          <t>alt</t>
        </is>
      </c>
      <c r="I8" s="12" t="inlineStr">
        <is>
          <t>LCSC C528437 (same MPN)</t>
        </is>
      </c>
      <c r="J8" s="22">
        <f>MAX(D8,G8)</f>
        <v/>
      </c>
      <c r="K8" s="25">
        <f>E8</f>
        <v/>
      </c>
      <c r="L8" s="26">
        <f>D8*K8*$C$3</f>
        <v/>
      </c>
      <c r="M8" s="26">
        <f>J8*K8*$C$3</f>
        <v/>
      </c>
      <c r="N8" s="22">
        <f>D8*5</f>
        <v/>
      </c>
      <c r="O8" s="22">
        <f>MAX(N8,G8)</f>
        <v/>
      </c>
      <c r="P8" s="25">
        <f>IF(O8&gt;=10,F8,E8)</f>
        <v/>
      </c>
      <c r="Q8" s="26">
        <f>N8*P8*$C$3</f>
        <v/>
      </c>
      <c r="R8" s="26">
        <f>O8*P8*$C$3</f>
        <v/>
      </c>
    </row>
    <row r="9">
      <c r="A9" s="22" t="n">
        <v>3</v>
      </c>
      <c r="B9" s="12" t="inlineStr">
        <is>
          <t>QMI8658B</t>
        </is>
      </c>
      <c r="C9" s="12" t="inlineStr">
        <is>
          <t>U3</t>
        </is>
      </c>
      <c r="D9" s="22" t="n">
        <v>1</v>
      </c>
      <c r="E9" s="23" t="n">
        <v>1.4209</v>
      </c>
      <c r="F9" s="23" t="n">
        <v>1.18</v>
      </c>
      <c r="G9" s="24" t="n">
        <v>1</v>
      </c>
      <c r="H9" s="22" t="inlineStr">
        <is>
          <t>live</t>
        </is>
      </c>
      <c r="I9" s="12" t="inlineStr">
        <is>
          <t>LCSC C5380158</t>
        </is>
      </c>
      <c r="J9" s="22">
        <f>MAX(D9,G9)</f>
        <v/>
      </c>
      <c r="K9" s="25">
        <f>E9</f>
        <v/>
      </c>
      <c r="L9" s="26">
        <f>D9*K9*$C$3</f>
        <v/>
      </c>
      <c r="M9" s="26">
        <f>J9*K9*$C$3</f>
        <v/>
      </c>
      <c r="N9" s="22">
        <f>D9*5</f>
        <v/>
      </c>
      <c r="O9" s="22">
        <f>MAX(N9,G9)</f>
        <v/>
      </c>
      <c r="P9" s="25">
        <f>IF(O9&gt;=10,F9,E9)</f>
        <v/>
      </c>
      <c r="Q9" s="26">
        <f>N9*P9*$C$3</f>
        <v/>
      </c>
      <c r="R9" s="26">
        <f>O9*P9*$C$3</f>
        <v/>
      </c>
    </row>
    <row r="10">
      <c r="A10" s="22" t="n">
        <v>4</v>
      </c>
      <c r="B10" s="12" t="inlineStr">
        <is>
          <t>SIT1051AT/3</t>
        </is>
      </c>
      <c r="C10" s="12" t="inlineStr">
        <is>
          <t>U4</t>
        </is>
      </c>
      <c r="D10" s="22" t="n">
        <v>1</v>
      </c>
      <c r="E10" s="23" t="n">
        <v>0.4356</v>
      </c>
      <c r="F10" s="23" t="n">
        <v>0.3513</v>
      </c>
      <c r="G10" s="24" t="n">
        <v>1</v>
      </c>
      <c r="H10" s="22" t="inlineStr">
        <is>
          <t>live</t>
        </is>
      </c>
      <c r="I10" s="12" t="inlineStr">
        <is>
          <t>LCSC C5382551</t>
        </is>
      </c>
      <c r="J10" s="22">
        <f>MAX(D10,G10)</f>
        <v/>
      </c>
      <c r="K10" s="25">
        <f>E10</f>
        <v/>
      </c>
      <c r="L10" s="26">
        <f>D10*K10*$C$3</f>
        <v/>
      </c>
      <c r="M10" s="26">
        <f>J10*K10*$C$3</f>
        <v/>
      </c>
      <c r="N10" s="22">
        <f>D10*5</f>
        <v/>
      </c>
      <c r="O10" s="22">
        <f>MAX(N10,G10)</f>
        <v/>
      </c>
      <c r="P10" s="25">
        <f>IF(O10&gt;=10,F10,E10)</f>
        <v/>
      </c>
      <c r="Q10" s="26">
        <f>N10*P10*$C$3</f>
        <v/>
      </c>
      <c r="R10" s="26">
        <f>O10*P10*$C$3</f>
        <v/>
      </c>
    </row>
    <row r="11">
      <c r="A11" s="22" t="n">
        <v>5</v>
      </c>
      <c r="B11" s="12" t="inlineStr">
        <is>
          <t>EG11752</t>
        </is>
      </c>
      <c r="C11" s="12" t="inlineStr">
        <is>
          <t>U5</t>
        </is>
      </c>
      <c r="D11" s="22" t="n">
        <v>1</v>
      </c>
      <c r="E11" s="23" t="n">
        <v>0.5</v>
      </c>
      <c r="F11" s="23" t="n">
        <v>0.5</v>
      </c>
      <c r="G11" s="24" t="n">
        <v>1</v>
      </c>
      <c r="H11" s="27" t="inlineStr">
        <is>
          <t>est</t>
        </is>
      </c>
      <c r="I11" s="12" t="inlineStr">
        <is>
          <t>NO PRICE FOUND. Placeholder $0.50</t>
        </is>
      </c>
      <c r="J11" s="22">
        <f>MAX(D11,G11)</f>
        <v/>
      </c>
      <c r="K11" s="25">
        <f>E11</f>
        <v/>
      </c>
      <c r="L11" s="26">
        <f>D11*K11*$C$3</f>
        <v/>
      </c>
      <c r="M11" s="26">
        <f>J11*K11*$C$3</f>
        <v/>
      </c>
      <c r="N11" s="22">
        <f>D11*5</f>
        <v/>
      </c>
      <c r="O11" s="22">
        <f>MAX(N11,G11)</f>
        <v/>
      </c>
      <c r="P11" s="25">
        <f>IF(O11&gt;=10,F11,E11)</f>
        <v/>
      </c>
      <c r="Q11" s="26">
        <f>N11*P11*$C$3</f>
        <v/>
      </c>
      <c r="R11" s="26">
        <f>O11*P11*$C$3</f>
        <v/>
      </c>
    </row>
    <row r="12">
      <c r="A12" s="22" t="n">
        <v>6</v>
      </c>
      <c r="B12" s="12" t="inlineStr">
        <is>
          <t>BQ25606RGER</t>
        </is>
      </c>
      <c r="C12" s="12" t="inlineStr">
        <is>
          <t>U6</t>
        </is>
      </c>
      <c r="D12" s="22" t="n">
        <v>1</v>
      </c>
      <c r="E12" s="23" t="n">
        <v>1.6253</v>
      </c>
      <c r="F12" s="23" t="n">
        <v>1.4132</v>
      </c>
      <c r="G12" s="24" t="n">
        <v>1</v>
      </c>
      <c r="H12" s="22" t="inlineStr">
        <is>
          <t>live</t>
        </is>
      </c>
      <c r="I12" s="12" t="inlineStr">
        <is>
          <t>LCSC C374063</t>
        </is>
      </c>
      <c r="J12" s="22">
        <f>MAX(D12,G12)</f>
        <v/>
      </c>
      <c r="K12" s="25">
        <f>E12</f>
        <v/>
      </c>
      <c r="L12" s="26">
        <f>D12*K12*$C$3</f>
        <v/>
      </c>
      <c r="M12" s="26">
        <f>J12*K12*$C$3</f>
        <v/>
      </c>
      <c r="N12" s="22">
        <f>D12*5</f>
        <v/>
      </c>
      <c r="O12" s="22">
        <f>MAX(N12,G12)</f>
        <v/>
      </c>
      <c r="P12" s="25">
        <f>IF(O12&gt;=10,F12,E12)</f>
        <v/>
      </c>
      <c r="Q12" s="26">
        <f>N12*P12*$C$3</f>
        <v/>
      </c>
      <c r="R12" s="26">
        <f>O12*P12*$C$3</f>
        <v/>
      </c>
    </row>
    <row r="13">
      <c r="A13" s="22" t="n">
        <v>7</v>
      </c>
      <c r="B13" s="12" t="inlineStr">
        <is>
          <t>GD25Q64ESIGR</t>
        </is>
      </c>
      <c r="C13" s="12" t="inlineStr">
        <is>
          <t>U7</t>
        </is>
      </c>
      <c r="D13" s="22" t="n">
        <v>1</v>
      </c>
      <c r="E13" s="23" t="n">
        <v>1.137</v>
      </c>
      <c r="F13" s="23" t="n">
        <v>0.79</v>
      </c>
      <c r="G13" s="24" t="n">
        <v>1</v>
      </c>
      <c r="H13" s="22" t="inlineStr">
        <is>
          <t>live</t>
        </is>
      </c>
      <c r="I13" s="12" t="inlineStr">
        <is>
          <t>LCSC 1+, JLC-China 10+</t>
        </is>
      </c>
      <c r="J13" s="22">
        <f>MAX(D13,G13)</f>
        <v/>
      </c>
      <c r="K13" s="25">
        <f>E13</f>
        <v/>
      </c>
      <c r="L13" s="26">
        <f>D13*K13*$C$3</f>
        <v/>
      </c>
      <c r="M13" s="26">
        <f>J13*K13*$C$3</f>
        <v/>
      </c>
      <c r="N13" s="22">
        <f>D13*5</f>
        <v/>
      </c>
      <c r="O13" s="22">
        <f>MAX(N13,G13)</f>
        <v/>
      </c>
      <c r="P13" s="25">
        <f>IF(O13&gt;=10,F13,E13)</f>
        <v/>
      </c>
      <c r="Q13" s="26">
        <f>N13*P13*$C$3</f>
        <v/>
      </c>
      <c r="R13" s="26">
        <f>O13*P13*$C$3</f>
        <v/>
      </c>
    </row>
    <row r="14">
      <c r="A14" s="22" t="n">
        <v>8</v>
      </c>
      <c r="B14" s="12" t="inlineStr">
        <is>
          <t>TXB0104PWR</t>
        </is>
      </c>
      <c r="C14" s="12" t="inlineStr">
        <is>
          <t>U8</t>
        </is>
      </c>
      <c r="D14" s="22" t="n">
        <v>1</v>
      </c>
      <c r="E14" s="23" t="n">
        <v>0.5835</v>
      </c>
      <c r="F14" s="23" t="n">
        <v>0.5681</v>
      </c>
      <c r="G14" s="24" t="n">
        <v>1</v>
      </c>
      <c r="H14" s="22" t="inlineStr">
        <is>
          <t>live</t>
        </is>
      </c>
      <c r="I14" s="12" t="inlineStr">
        <is>
          <t>LCSC C60708</t>
        </is>
      </c>
      <c r="J14" s="22">
        <f>MAX(D14,G14)</f>
        <v/>
      </c>
      <c r="K14" s="25">
        <f>E14</f>
        <v/>
      </c>
      <c r="L14" s="26">
        <f>D14*K14*$C$3</f>
        <v/>
      </c>
      <c r="M14" s="26">
        <f>J14*K14*$C$3</f>
        <v/>
      </c>
      <c r="N14" s="22">
        <f>D14*5</f>
        <v/>
      </c>
      <c r="O14" s="22">
        <f>MAX(N14,G14)</f>
        <v/>
      </c>
      <c r="P14" s="25">
        <f>IF(O14&gt;=10,F14,E14)</f>
        <v/>
      </c>
      <c r="Q14" s="26">
        <f>N14*P14*$C$3</f>
        <v/>
      </c>
      <c r="R14" s="26">
        <f>O14*P14*$C$3</f>
        <v/>
      </c>
    </row>
    <row r="15">
      <c r="A15" s="22" t="n">
        <v>9</v>
      </c>
      <c r="B15" s="12" t="inlineStr">
        <is>
          <t>ME6211C33M5G</t>
        </is>
      </c>
      <c r="C15" s="12" t="inlineStr">
        <is>
          <t>U9</t>
        </is>
      </c>
      <c r="D15" s="22" t="n">
        <v>1</v>
      </c>
      <c r="E15" s="23" t="n">
        <v>0.0604</v>
      </c>
      <c r="F15" s="23" t="n">
        <v>0.0604</v>
      </c>
      <c r="G15" s="24" t="n">
        <v>10</v>
      </c>
      <c r="H15" s="22" t="inlineStr">
        <is>
          <t>live</t>
        </is>
      </c>
      <c r="I15" s="12" t="inlineStr">
        <is>
          <t>LCSC 10+</t>
        </is>
      </c>
      <c r="J15" s="22">
        <f>MAX(D15,G15)</f>
        <v/>
      </c>
      <c r="K15" s="25">
        <f>E15</f>
        <v/>
      </c>
      <c r="L15" s="26">
        <f>D15*K15*$C$3</f>
        <v/>
      </c>
      <c r="M15" s="26">
        <f>J15*K15*$C$3</f>
        <v/>
      </c>
      <c r="N15" s="22">
        <f>D15*5</f>
        <v/>
      </c>
      <c r="O15" s="22">
        <f>MAX(N15,G15)</f>
        <v/>
      </c>
      <c r="P15" s="25">
        <f>IF(O15&gt;=10,F15,E15)</f>
        <v/>
      </c>
      <c r="Q15" s="26">
        <f>N15*P15*$C$3</f>
        <v/>
      </c>
      <c r="R15" s="26">
        <f>O15*P15*$C$3</f>
        <v/>
      </c>
    </row>
    <row r="16">
      <c r="A16" s="22" t="n">
        <v>10</v>
      </c>
      <c r="B16" s="12" t="inlineStr">
        <is>
          <t>S3M</t>
        </is>
      </c>
      <c r="C16" s="12" t="inlineStr">
        <is>
          <t>D1</t>
        </is>
      </c>
      <c r="D16" s="22" t="n">
        <v>1</v>
      </c>
      <c r="E16" s="23" t="n">
        <v>0.0276</v>
      </c>
      <c r="F16" s="23" t="n">
        <v>0.0276</v>
      </c>
      <c r="G16" s="24" t="n">
        <v>20</v>
      </c>
      <c r="H16" s="22" t="inlineStr">
        <is>
          <t>live</t>
        </is>
      </c>
      <c r="I16" s="12" t="inlineStr">
        <is>
          <t>LCSC 20+</t>
        </is>
      </c>
      <c r="J16" s="22">
        <f>MAX(D16,G16)</f>
        <v/>
      </c>
      <c r="K16" s="25">
        <f>E16</f>
        <v/>
      </c>
      <c r="L16" s="26">
        <f>D16*K16*$C$3</f>
        <v/>
      </c>
      <c r="M16" s="26">
        <f>J16*K16*$C$3</f>
        <v/>
      </c>
      <c r="N16" s="22">
        <f>D16*5</f>
        <v/>
      </c>
      <c r="O16" s="22">
        <f>MAX(N16,G16)</f>
        <v/>
      </c>
      <c r="P16" s="25">
        <f>IF(O16&gt;=10,F16,E16)</f>
        <v/>
      </c>
      <c r="Q16" s="26">
        <f>N16*P16*$C$3</f>
        <v/>
      </c>
      <c r="R16" s="26">
        <f>O16*P16*$C$3</f>
        <v/>
      </c>
    </row>
    <row r="17">
      <c r="A17" s="22" t="n">
        <v>11</v>
      </c>
      <c r="B17" s="12" t="inlineStr">
        <is>
          <t>LED</t>
        </is>
      </c>
      <c r="C17" s="12" t="inlineStr">
        <is>
          <t>D13, D20, D21</t>
        </is>
      </c>
      <c r="D17" s="22" t="n">
        <v>3</v>
      </c>
      <c r="E17" s="23" t="n">
        <v>0.0073</v>
      </c>
      <c r="F17" s="23" t="n">
        <v>0.0073</v>
      </c>
      <c r="G17" s="24" t="n">
        <v>1</v>
      </c>
      <c r="H17" s="22" t="inlineStr">
        <is>
          <t>live</t>
        </is>
      </c>
      <c r="I17" s="12" t="inlineStr">
        <is>
          <t>JLC 1+</t>
        </is>
      </c>
      <c r="J17" s="22">
        <f>MAX(D17,G17)</f>
        <v/>
      </c>
      <c r="K17" s="25">
        <f>E17</f>
        <v/>
      </c>
      <c r="L17" s="26">
        <f>D17*K17*$C$3</f>
        <v/>
      </c>
      <c r="M17" s="26">
        <f>J17*K17*$C$3</f>
        <v/>
      </c>
      <c r="N17" s="22">
        <f>D17*5</f>
        <v/>
      </c>
      <c r="O17" s="22">
        <f>MAX(N17,G17)</f>
        <v/>
      </c>
      <c r="P17" s="25">
        <f>IF(O17&gt;=10,F17,E17)</f>
        <v/>
      </c>
      <c r="Q17" s="26">
        <f>N17*P17*$C$3</f>
        <v/>
      </c>
      <c r="R17" s="26">
        <f>O17*P17*$C$3</f>
        <v/>
      </c>
    </row>
    <row r="18">
      <c r="A18" s="22" t="n">
        <v>12</v>
      </c>
      <c r="B18" s="12" t="inlineStr">
        <is>
          <t>BAV99</t>
        </is>
      </c>
      <c r="C18" s="12" t="inlineStr">
        <is>
          <t>D5, D6, D10, D11</t>
        </is>
      </c>
      <c r="D18" s="22" t="n">
        <v>4</v>
      </c>
      <c r="E18" s="23" t="n">
        <v>0.0211</v>
      </c>
      <c r="F18" s="23" t="n">
        <v>0.0211</v>
      </c>
      <c r="G18" s="24" t="n">
        <v>20</v>
      </c>
      <c r="H18" s="22" t="inlineStr">
        <is>
          <t>live</t>
        </is>
      </c>
      <c r="I18" s="12" t="inlineStr">
        <is>
          <t>LCSC 20+</t>
        </is>
      </c>
      <c r="J18" s="22">
        <f>MAX(D18,G18)</f>
        <v/>
      </c>
      <c r="K18" s="25">
        <f>E18</f>
        <v/>
      </c>
      <c r="L18" s="26">
        <f>D18*K18*$C$3</f>
        <v/>
      </c>
      <c r="M18" s="26">
        <f>J18*K18*$C$3</f>
        <v/>
      </c>
      <c r="N18" s="22">
        <f>D18*5</f>
        <v/>
      </c>
      <c r="O18" s="22">
        <f>MAX(N18,G18)</f>
        <v/>
      </c>
      <c r="P18" s="25">
        <f>IF(O18&gt;=10,F18,E18)</f>
        <v/>
      </c>
      <c r="Q18" s="26">
        <f>N18*P18*$C$3</f>
        <v/>
      </c>
      <c r="R18" s="26">
        <f>O18*P18*$C$3</f>
        <v/>
      </c>
    </row>
    <row r="19">
      <c r="A19" s="22" t="n">
        <v>13</v>
      </c>
      <c r="B19" s="12" t="inlineStr">
        <is>
          <t>SS3200</t>
        </is>
      </c>
      <c r="C19" s="12" t="inlineStr">
        <is>
          <t>D7, D8, D16</t>
        </is>
      </c>
      <c r="D19" s="22" t="n">
        <v>3</v>
      </c>
      <c r="E19" s="23" t="n">
        <v>0.0469</v>
      </c>
      <c r="F19" s="23" t="n">
        <v>0.0469</v>
      </c>
      <c r="G19" s="24" t="n">
        <v>20</v>
      </c>
      <c r="H19" s="27" t="inlineStr">
        <is>
          <t>alt</t>
        </is>
      </c>
      <c r="I19" s="12" t="inlineStr">
        <is>
          <t>LCSC MDD SS3200 SMA 100+ tier</t>
        </is>
      </c>
      <c r="J19" s="22">
        <f>MAX(D19,G19)</f>
        <v/>
      </c>
      <c r="K19" s="25">
        <f>E19</f>
        <v/>
      </c>
      <c r="L19" s="26">
        <f>D19*K19*$C$3</f>
        <v/>
      </c>
      <c r="M19" s="26">
        <f>J19*K19*$C$3</f>
        <v/>
      </c>
      <c r="N19" s="22">
        <f>D19*5</f>
        <v/>
      </c>
      <c r="O19" s="22">
        <f>MAX(N19,G19)</f>
        <v/>
      </c>
      <c r="P19" s="25">
        <f>IF(O19&gt;=10,F19,E19)</f>
        <v/>
      </c>
      <c r="Q19" s="26">
        <f>N19*P19*$C$3</f>
        <v/>
      </c>
      <c r="R19" s="26">
        <f>O19*P19*$C$3</f>
        <v/>
      </c>
    </row>
    <row r="20">
      <c r="A20" s="22" t="n">
        <v>14</v>
      </c>
      <c r="B20" s="12" t="inlineStr">
        <is>
          <t>EL357N(D)</t>
        </is>
      </c>
      <c r="C20" s="12" t="inlineStr">
        <is>
          <t>OK1, OK2</t>
        </is>
      </c>
      <c r="D20" s="22" t="n">
        <v>2</v>
      </c>
      <c r="E20" s="23" t="n">
        <v>0.07389999999999999</v>
      </c>
      <c r="F20" s="23" t="n">
        <v>0.07389999999999999</v>
      </c>
      <c r="G20" s="24" t="n">
        <v>1</v>
      </c>
      <c r="H20" s="27" t="inlineStr">
        <is>
          <t>alt</t>
        </is>
      </c>
      <c r="I20" s="12" t="inlineStr">
        <is>
          <t>LCSC C142283 EL357N(D)</t>
        </is>
      </c>
      <c r="J20" s="22">
        <f>MAX(D20,G20)</f>
        <v/>
      </c>
      <c r="K20" s="25">
        <f>E20</f>
        <v/>
      </c>
      <c r="L20" s="26">
        <f>D20*K20*$C$3</f>
        <v/>
      </c>
      <c r="M20" s="26">
        <f>J20*K20*$C$3</f>
        <v/>
      </c>
      <c r="N20" s="22">
        <f>D20*5</f>
        <v/>
      </c>
      <c r="O20" s="22">
        <f>MAX(N20,G20)</f>
        <v/>
      </c>
      <c r="P20" s="25">
        <f>IF(O20&gt;=10,F20,E20)</f>
        <v/>
      </c>
      <c r="Q20" s="26">
        <f>N20*P20*$C$3</f>
        <v/>
      </c>
      <c r="R20" s="26">
        <f>O20*P20*$C$3</f>
        <v/>
      </c>
    </row>
    <row r="21">
      <c r="A21" s="22" t="n">
        <v>15</v>
      </c>
      <c r="B21" s="12" t="inlineStr">
        <is>
          <t>AM2390N-TP</t>
        </is>
      </c>
      <c r="C21" s="12" t="inlineStr">
        <is>
          <t>Q1, Q2</t>
        </is>
      </c>
      <c r="D21" s="22" t="n">
        <v>2</v>
      </c>
      <c r="E21" s="23" t="n">
        <v>0.61</v>
      </c>
      <c r="F21" s="23" t="n">
        <v>0.406</v>
      </c>
      <c r="G21" s="24" t="n">
        <v>1</v>
      </c>
      <c r="H21" s="27" t="inlineStr">
        <is>
          <t>alt</t>
        </is>
      </c>
      <c r="I21" s="12" t="inlineStr">
        <is>
          <t>DigiKey AM2390N</t>
        </is>
      </c>
      <c r="J21" s="22">
        <f>MAX(D21,G21)</f>
        <v/>
      </c>
      <c r="K21" s="25">
        <f>E21</f>
        <v/>
      </c>
      <c r="L21" s="26">
        <f>D21*K21*$C$3</f>
        <v/>
      </c>
      <c r="M21" s="26">
        <f>J21*K21*$C$3</f>
        <v/>
      </c>
      <c r="N21" s="22">
        <f>D21*5</f>
        <v/>
      </c>
      <c r="O21" s="22">
        <f>MAX(N21,G21)</f>
        <v/>
      </c>
      <c r="P21" s="25">
        <f>IF(O21&gt;=10,F21,E21)</f>
        <v/>
      </c>
      <c r="Q21" s="26">
        <f>N21*P21*$C$3</f>
        <v/>
      </c>
      <c r="R21" s="26">
        <f>O21*P21*$C$3</f>
        <v/>
      </c>
    </row>
    <row r="22">
      <c r="A22" s="22" t="n">
        <v>16</v>
      </c>
      <c r="B22" s="12" t="inlineStr">
        <is>
          <t>MMBT3906</t>
        </is>
      </c>
      <c r="C22" s="12" t="inlineStr">
        <is>
          <t>Q13</t>
        </is>
      </c>
      <c r="D22" s="22" t="n">
        <v>1</v>
      </c>
      <c r="E22" s="23" t="n">
        <v>0.0577</v>
      </c>
      <c r="F22" s="23" t="n">
        <v>0.0577</v>
      </c>
      <c r="G22" s="24" t="n">
        <v>10</v>
      </c>
      <c r="H22" s="22" t="inlineStr">
        <is>
          <t>live</t>
        </is>
      </c>
      <c r="I22" s="12" t="inlineStr">
        <is>
          <t>LCSC 10+</t>
        </is>
      </c>
      <c r="J22" s="22">
        <f>MAX(D22,G22)</f>
        <v/>
      </c>
      <c r="K22" s="25">
        <f>E22</f>
        <v/>
      </c>
      <c r="L22" s="26">
        <f>D22*K22*$C$3</f>
        <v/>
      </c>
      <c r="M22" s="26">
        <f>J22*K22*$C$3</f>
        <v/>
      </c>
      <c r="N22" s="22">
        <f>D22*5</f>
        <v/>
      </c>
      <c r="O22" s="22">
        <f>MAX(N22,G22)</f>
        <v/>
      </c>
      <c r="P22" s="25">
        <f>IF(O22&gt;=10,F22,E22)</f>
        <v/>
      </c>
      <c r="Q22" s="26">
        <f>N22*P22*$C$3</f>
        <v/>
      </c>
      <c r="R22" s="26">
        <f>O22*P22*$C$3</f>
        <v/>
      </c>
    </row>
    <row r="23">
      <c r="A23" s="22" t="n">
        <v>17</v>
      </c>
      <c r="B23" s="12" t="inlineStr">
        <is>
          <t>AO3401A</t>
        </is>
      </c>
      <c r="C23" s="12" t="inlineStr">
        <is>
          <t>Q3</t>
        </is>
      </c>
      <c r="D23" s="22" t="n">
        <v>1</v>
      </c>
      <c r="E23" s="23" t="n">
        <v>0.0589</v>
      </c>
      <c r="F23" s="23" t="n">
        <v>0.0589</v>
      </c>
      <c r="G23" s="24" t="n">
        <v>10</v>
      </c>
      <c r="H23" s="22" t="inlineStr">
        <is>
          <t>live</t>
        </is>
      </c>
      <c r="I23" s="12" t="inlineStr">
        <is>
          <t>LCSC 10+</t>
        </is>
      </c>
      <c r="J23" s="22">
        <f>MAX(D23,G23)</f>
        <v/>
      </c>
      <c r="K23" s="25">
        <f>E23</f>
        <v/>
      </c>
      <c r="L23" s="26">
        <f>D23*K23*$C$3</f>
        <v/>
      </c>
      <c r="M23" s="26">
        <f>J23*K23*$C$3</f>
        <v/>
      </c>
      <c r="N23" s="22">
        <f>D23*5</f>
        <v/>
      </c>
      <c r="O23" s="22">
        <f>MAX(N23,G23)</f>
        <v/>
      </c>
      <c r="P23" s="25">
        <f>IF(O23&gt;=10,F23,E23)</f>
        <v/>
      </c>
      <c r="Q23" s="26">
        <f>N23*P23*$C$3</f>
        <v/>
      </c>
      <c r="R23" s="26">
        <f>O23*P23*$C$3</f>
        <v/>
      </c>
    </row>
    <row r="24">
      <c r="A24" s="22" t="n">
        <v>18</v>
      </c>
      <c r="B24" s="12" t="inlineStr">
        <is>
          <t>MMBT3904</t>
        </is>
      </c>
      <c r="C24" s="12" t="inlineStr">
        <is>
          <t>Q4, Q5, Q6, Q7, Q8, Q9, Q10, Q11, Q12, Q14</t>
        </is>
      </c>
      <c r="D24" s="22" t="n">
        <v>10</v>
      </c>
      <c r="E24" s="23" t="n">
        <v>0.0127</v>
      </c>
      <c r="F24" s="23" t="n">
        <v>0.0127</v>
      </c>
      <c r="G24" s="24" t="n">
        <v>50</v>
      </c>
      <c r="H24" s="22" t="inlineStr">
        <is>
          <t>live</t>
        </is>
      </c>
      <c r="I24" s="12" t="inlineStr">
        <is>
          <t>JLC/LCSC 50+</t>
        </is>
      </c>
      <c r="J24" s="22">
        <f>MAX(D24,G24)</f>
        <v/>
      </c>
      <c r="K24" s="25">
        <f>E24</f>
        <v/>
      </c>
      <c r="L24" s="26">
        <f>D24*K24*$C$3</f>
        <v/>
      </c>
      <c r="M24" s="26">
        <f>J24*K24*$C$3</f>
        <v/>
      </c>
      <c r="N24" s="22">
        <f>D24*5</f>
        <v/>
      </c>
      <c r="O24" s="22">
        <f>MAX(N24,G24)</f>
        <v/>
      </c>
      <c r="P24" s="25">
        <f>IF(O24&gt;=10,F24,E24)</f>
        <v/>
      </c>
      <c r="Q24" s="26">
        <f>N24*P24*$C$3</f>
        <v/>
      </c>
      <c r="R24" s="26">
        <f>O24*P24*$C$3</f>
        <v/>
      </c>
    </row>
    <row r="25">
      <c r="A25" s="22" t="n">
        <v>19</v>
      </c>
      <c r="B25" s="12" t="inlineStr">
        <is>
          <t>SMF5.0A</t>
        </is>
      </c>
      <c r="C25" s="12" t="inlineStr">
        <is>
          <t>D12</t>
        </is>
      </c>
      <c r="D25" s="22" t="n">
        <v>1</v>
      </c>
      <c r="E25" s="23" t="n">
        <v>0.0276</v>
      </c>
      <c r="F25" s="23" t="n">
        <v>0.0276</v>
      </c>
      <c r="G25" s="24" t="n">
        <v>20</v>
      </c>
      <c r="H25" s="22" t="inlineStr">
        <is>
          <t>live</t>
        </is>
      </c>
      <c r="I25" s="12" t="inlineStr">
        <is>
          <t>LCSC 20+</t>
        </is>
      </c>
      <c r="J25" s="22">
        <f>MAX(D25,G25)</f>
        <v/>
      </c>
      <c r="K25" s="25">
        <f>E25</f>
        <v/>
      </c>
      <c r="L25" s="26">
        <f>D25*K25*$C$3</f>
        <v/>
      </c>
      <c r="M25" s="26">
        <f>J25*K25*$C$3</f>
        <v/>
      </c>
      <c r="N25" s="22">
        <f>D25*5</f>
        <v/>
      </c>
      <c r="O25" s="22">
        <f>MAX(N25,G25)</f>
        <v/>
      </c>
      <c r="P25" s="25">
        <f>IF(O25&gt;=10,F25,E25)</f>
        <v/>
      </c>
      <c r="Q25" s="26">
        <f>N25*P25*$C$3</f>
        <v/>
      </c>
      <c r="R25" s="26">
        <f>O25*P25*$C$3</f>
        <v/>
      </c>
    </row>
    <row r="26">
      <c r="A26" s="22" t="n">
        <v>20</v>
      </c>
      <c r="B26" s="12" t="inlineStr">
        <is>
          <t>SMF05C</t>
        </is>
      </c>
      <c r="C26" s="12" t="inlineStr">
        <is>
          <t>D14</t>
        </is>
      </c>
      <c r="D26" s="22" t="n">
        <v>1</v>
      </c>
      <c r="E26" s="23" t="n">
        <v>0.1747</v>
      </c>
      <c r="F26" s="23" t="n">
        <v>0.1747</v>
      </c>
      <c r="G26" s="24" t="n">
        <v>5</v>
      </c>
      <c r="H26" s="22" t="inlineStr">
        <is>
          <t>live</t>
        </is>
      </c>
      <c r="I26" s="12" t="inlineStr">
        <is>
          <t>LCSC 5+</t>
        </is>
      </c>
      <c r="J26" s="22">
        <f>MAX(D26,G26)</f>
        <v/>
      </c>
      <c r="K26" s="25">
        <f>E26</f>
        <v/>
      </c>
      <c r="L26" s="26">
        <f>D26*K26*$C$3</f>
        <v/>
      </c>
      <c r="M26" s="26">
        <f>J26*K26*$C$3</f>
        <v/>
      </c>
      <c r="N26" s="22">
        <f>D26*5</f>
        <v/>
      </c>
      <c r="O26" s="22">
        <f>MAX(N26,G26)</f>
        <v/>
      </c>
      <c r="P26" s="25">
        <f>IF(O26&gt;=10,F26,E26)</f>
        <v/>
      </c>
      <c r="Q26" s="26">
        <f>N26*P26*$C$3</f>
        <v/>
      </c>
      <c r="R26" s="26">
        <f>O26*P26*$C$3</f>
        <v/>
      </c>
    </row>
    <row r="27">
      <c r="A27" s="22" t="n">
        <v>21</v>
      </c>
      <c r="B27" s="12" t="inlineStr">
        <is>
          <t>USBLC6-2SC6</t>
        </is>
      </c>
      <c r="C27" s="12" t="inlineStr">
        <is>
          <t>D15</t>
        </is>
      </c>
      <c r="D27" s="22" t="n">
        <v>1</v>
      </c>
      <c r="E27" s="23" t="n">
        <v>0.164</v>
      </c>
      <c r="F27" s="23" t="n">
        <v>0.164</v>
      </c>
      <c r="G27" s="24" t="n">
        <v>5</v>
      </c>
      <c r="H27" s="22" t="inlineStr">
        <is>
          <t>live</t>
        </is>
      </c>
      <c r="I27" s="12" t="inlineStr">
        <is>
          <t>LCSC 5+</t>
        </is>
      </c>
      <c r="J27" s="22">
        <f>MAX(D27,G27)</f>
        <v/>
      </c>
      <c r="K27" s="25">
        <f>E27</f>
        <v/>
      </c>
      <c r="L27" s="26">
        <f>D27*K27*$C$3</f>
        <v/>
      </c>
      <c r="M27" s="26">
        <f>J27*K27*$C$3</f>
        <v/>
      </c>
      <c r="N27" s="22">
        <f>D27*5</f>
        <v/>
      </c>
      <c r="O27" s="22">
        <f>MAX(N27,G27)</f>
        <v/>
      </c>
      <c r="P27" s="25">
        <f>IF(O27&gt;=10,F27,E27)</f>
        <v/>
      </c>
      <c r="Q27" s="26">
        <f>N27*P27*$C$3</f>
        <v/>
      </c>
      <c r="R27" s="26">
        <f>O27*P27*$C$3</f>
        <v/>
      </c>
    </row>
    <row r="28">
      <c r="A28" s="22" t="n">
        <v>22</v>
      </c>
      <c r="B28" s="12" t="inlineStr">
        <is>
          <t>SMDJ100A</t>
        </is>
      </c>
      <c r="C28" s="12" t="inlineStr">
        <is>
          <t>D2</t>
        </is>
      </c>
      <c r="D28" s="22" t="n">
        <v>1</v>
      </c>
      <c r="E28" s="23" t="n">
        <v>1.02</v>
      </c>
      <c r="F28" s="23" t="n">
        <v>0.638</v>
      </c>
      <c r="G28" s="24" t="n">
        <v>1</v>
      </c>
      <c r="H28" s="27" t="inlineStr">
        <is>
          <t>alt</t>
        </is>
      </c>
      <c r="I28" s="12" t="inlineStr">
        <is>
          <t>DigiKey SMDJ100A</t>
        </is>
      </c>
      <c r="J28" s="22">
        <f>MAX(D28,G28)</f>
        <v/>
      </c>
      <c r="K28" s="25">
        <f>E28</f>
        <v/>
      </c>
      <c r="L28" s="26">
        <f>D28*K28*$C$3</f>
        <v/>
      </c>
      <c r="M28" s="26">
        <f>J28*K28*$C$3</f>
        <v/>
      </c>
      <c r="N28" s="22">
        <f>D28*5</f>
        <v/>
      </c>
      <c r="O28" s="22">
        <f>MAX(N28,G28)</f>
        <v/>
      </c>
      <c r="P28" s="25">
        <f>IF(O28&gt;=10,F28,E28)</f>
        <v/>
      </c>
      <c r="Q28" s="26">
        <f>N28*P28*$C$3</f>
        <v/>
      </c>
      <c r="R28" s="26">
        <f>O28*P28*$C$3</f>
        <v/>
      </c>
    </row>
    <row r="29">
      <c r="A29" s="22" t="n">
        <v>23</v>
      </c>
      <c r="B29" s="12" t="inlineStr">
        <is>
          <t>PESD1CAN</t>
        </is>
      </c>
      <c r="C29" s="12" t="inlineStr">
        <is>
          <t>D3</t>
        </is>
      </c>
      <c r="D29" s="22" t="n">
        <v>1</v>
      </c>
      <c r="E29" s="23" t="n">
        <v>0.0721</v>
      </c>
      <c r="F29" s="23" t="n">
        <v>0.0721</v>
      </c>
      <c r="G29" s="24" t="n">
        <v>10</v>
      </c>
      <c r="H29" s="22" t="inlineStr">
        <is>
          <t>live</t>
        </is>
      </c>
      <c r="I29" s="12" t="inlineStr">
        <is>
          <t>LCSC 10+</t>
        </is>
      </c>
      <c r="J29" s="22">
        <f>MAX(D29,G29)</f>
        <v/>
      </c>
      <c r="K29" s="25">
        <f>E29</f>
        <v/>
      </c>
      <c r="L29" s="26">
        <f>D29*K29*$C$3</f>
        <v/>
      </c>
      <c r="M29" s="26">
        <f>J29*K29*$C$3</f>
        <v/>
      </c>
      <c r="N29" s="22">
        <f>D29*5</f>
        <v/>
      </c>
      <c r="O29" s="22">
        <f>MAX(N29,G29)</f>
        <v/>
      </c>
      <c r="P29" s="25">
        <f>IF(O29&gt;=10,F29,E29)</f>
        <v/>
      </c>
      <c r="Q29" s="26">
        <f>N29*P29*$C$3</f>
        <v/>
      </c>
      <c r="R29" s="26">
        <f>O29*P29*$C$3</f>
        <v/>
      </c>
    </row>
    <row r="30">
      <c r="A30" s="22" t="n">
        <v>24</v>
      </c>
      <c r="B30" s="12" t="inlineStr">
        <is>
          <t>1A 250V</t>
        </is>
      </c>
      <c r="C30" s="12" t="inlineStr">
        <is>
          <t>F1</t>
        </is>
      </c>
      <c r="D30" s="22" t="n">
        <v>1</v>
      </c>
      <c r="E30" s="23" t="n">
        <v>2.37</v>
      </c>
      <c r="F30" s="23" t="n">
        <v>1.966</v>
      </c>
      <c r="G30" s="24" t="n">
        <v>1</v>
      </c>
      <c r="H30" s="27" t="inlineStr">
        <is>
          <t>alt</t>
        </is>
      </c>
      <c r="I30" s="12" t="inlineStr">
        <is>
          <t>DigiKey 0443001.DR</t>
        </is>
      </c>
      <c r="J30" s="22">
        <f>MAX(D30,G30)</f>
        <v/>
      </c>
      <c r="K30" s="25">
        <f>E30</f>
        <v/>
      </c>
      <c r="L30" s="26">
        <f>D30*K30*$C$3</f>
        <v/>
      </c>
      <c r="M30" s="26">
        <f>J30*K30*$C$3</f>
        <v/>
      </c>
      <c r="N30" s="22">
        <f>D30*5</f>
        <v/>
      </c>
      <c r="O30" s="22">
        <f>MAX(N30,G30)</f>
        <v/>
      </c>
      <c r="P30" s="25">
        <f>IF(O30&gt;=10,F30,E30)</f>
        <v/>
      </c>
      <c r="Q30" s="26">
        <f>N30*P30*$C$3</f>
        <v/>
      </c>
      <c r="R30" s="26">
        <f>O30*P30*$C$3</f>
        <v/>
      </c>
    </row>
    <row r="31">
      <c r="A31" s="22" t="n">
        <v>25</v>
      </c>
      <c r="B31" s="12" t="inlineStr">
        <is>
          <t>600R@100MHz</t>
        </is>
      </c>
      <c r="C31" s="12" t="inlineStr">
        <is>
          <t>FB1</t>
        </is>
      </c>
      <c r="D31" s="22" t="n">
        <v>1</v>
      </c>
      <c r="E31" s="23" t="n">
        <v>0.0127</v>
      </c>
      <c r="F31" s="23" t="n">
        <v>0.0127</v>
      </c>
      <c r="G31" s="24" t="n">
        <v>1</v>
      </c>
      <c r="H31" s="22" t="inlineStr">
        <is>
          <t>live</t>
        </is>
      </c>
      <c r="I31" s="12" t="inlineStr">
        <is>
          <t>JLC 1+</t>
        </is>
      </c>
      <c r="J31" s="22">
        <f>MAX(D31,G31)</f>
        <v/>
      </c>
      <c r="K31" s="25">
        <f>E31</f>
        <v/>
      </c>
      <c r="L31" s="26">
        <f>D31*K31*$C$3</f>
        <v/>
      </c>
      <c r="M31" s="26">
        <f>J31*K31*$C$3</f>
        <v/>
      </c>
      <c r="N31" s="22">
        <f>D31*5</f>
        <v/>
      </c>
      <c r="O31" s="22">
        <f>MAX(N31,G31)</f>
        <v/>
      </c>
      <c r="P31" s="25">
        <f>IF(O31&gt;=10,F31,E31)</f>
        <v/>
      </c>
      <c r="Q31" s="26">
        <f>N31*P31*$C$3</f>
        <v/>
      </c>
      <c r="R31" s="26">
        <f>O31*P31*$C$3</f>
        <v/>
      </c>
    </row>
    <row r="32">
      <c r="A32" s="22" t="n">
        <v>26</v>
      </c>
      <c r="B32" s="12" t="inlineStr">
        <is>
          <t>150uH 2.7A</t>
        </is>
      </c>
      <c r="C32" s="12" t="inlineStr">
        <is>
          <t>L1</t>
        </is>
      </c>
      <c r="D32" s="22" t="n">
        <v>1</v>
      </c>
      <c r="E32" s="23" t="n">
        <v>0.2231</v>
      </c>
      <c r="F32" s="23" t="n">
        <v>0.2212</v>
      </c>
      <c r="G32" s="24" t="n">
        <v>5</v>
      </c>
      <c r="H32" s="22" t="inlineStr">
        <is>
          <t>live</t>
        </is>
      </c>
      <c r="I32" s="12" t="inlineStr">
        <is>
          <t>JLC 1+ / LCSC 5+</t>
        </is>
      </c>
      <c r="J32" s="22">
        <f>MAX(D32,G32)</f>
        <v/>
      </c>
      <c r="K32" s="25">
        <f>E32</f>
        <v/>
      </c>
      <c r="L32" s="26">
        <f>D32*K32*$C$3</f>
        <v/>
      </c>
      <c r="M32" s="26">
        <f>J32*K32*$C$3</f>
        <v/>
      </c>
      <c r="N32" s="22">
        <f>D32*5</f>
        <v/>
      </c>
      <c r="O32" s="22">
        <f>MAX(N32,G32)</f>
        <v/>
      </c>
      <c r="P32" s="25">
        <f>IF(O32&gt;=10,F32,E32)</f>
        <v/>
      </c>
      <c r="Q32" s="26">
        <f>N32*P32*$C$3</f>
        <v/>
      </c>
      <c r="R32" s="26">
        <f>O32*P32*$C$3</f>
        <v/>
      </c>
    </row>
    <row r="33">
      <c r="A33" s="22" t="n">
        <v>27</v>
      </c>
      <c r="B33" s="12" t="inlineStr">
        <is>
          <t>ACT45B-510-2P</t>
        </is>
      </c>
      <c r="C33" s="12" t="inlineStr">
        <is>
          <t>L2</t>
        </is>
      </c>
      <c r="D33" s="22" t="n">
        <v>1</v>
      </c>
      <c r="E33" s="23" t="n">
        <v>0.3571</v>
      </c>
      <c r="F33" s="23" t="n">
        <v>0.3571</v>
      </c>
      <c r="G33" s="24" t="n">
        <v>2</v>
      </c>
      <c r="H33" s="22" t="inlineStr">
        <is>
          <t>live</t>
        </is>
      </c>
      <c r="I33" s="12" t="inlineStr">
        <is>
          <t>LCSC 2+</t>
        </is>
      </c>
      <c r="J33" s="22">
        <f>MAX(D33,G33)</f>
        <v/>
      </c>
      <c r="K33" s="25">
        <f>E33</f>
        <v/>
      </c>
      <c r="L33" s="26">
        <f>D33*K33*$C$3</f>
        <v/>
      </c>
      <c r="M33" s="26">
        <f>J33*K33*$C$3</f>
        <v/>
      </c>
      <c r="N33" s="22">
        <f>D33*5</f>
        <v/>
      </c>
      <c r="O33" s="22">
        <f>MAX(N33,G33)</f>
        <v/>
      </c>
      <c r="P33" s="25">
        <f>IF(O33&gt;=10,F33,E33)</f>
        <v/>
      </c>
      <c r="Q33" s="26">
        <f>N33*P33*$C$3</f>
        <v/>
      </c>
      <c r="R33" s="26">
        <f>O33*P33*$C$3</f>
        <v/>
      </c>
    </row>
    <row r="34">
      <c r="A34" s="22" t="n">
        <v>28</v>
      </c>
      <c r="B34" s="12" t="inlineStr">
        <is>
          <t>2.2uH</t>
        </is>
      </c>
      <c r="C34" s="12" t="inlineStr">
        <is>
          <t>L3</t>
        </is>
      </c>
      <c r="D34" s="22" t="n">
        <v>1</v>
      </c>
      <c r="E34" s="23" t="n">
        <v>0.1631</v>
      </c>
      <c r="F34" s="23" t="n">
        <v>0.1091</v>
      </c>
      <c r="G34" s="24" t="n">
        <v>5</v>
      </c>
      <c r="H34" s="22" t="inlineStr">
        <is>
          <t>live</t>
        </is>
      </c>
      <c r="I34" s="12" t="inlineStr">
        <is>
          <t>JLC 1+ / LCSC 5+</t>
        </is>
      </c>
      <c r="J34" s="22">
        <f>MAX(D34,G34)</f>
        <v/>
      </c>
      <c r="K34" s="25">
        <f>E34</f>
        <v/>
      </c>
      <c r="L34" s="26">
        <f>D34*K34*$C$3</f>
        <v/>
      </c>
      <c r="M34" s="26">
        <f>J34*K34*$C$3</f>
        <v/>
      </c>
      <c r="N34" s="22">
        <f>D34*5</f>
        <v/>
      </c>
      <c r="O34" s="22">
        <f>MAX(N34,G34)</f>
        <v/>
      </c>
      <c r="P34" s="25">
        <f>IF(O34&gt;=10,F34,E34)</f>
        <v/>
      </c>
      <c r="Q34" s="26">
        <f>N34*P34*$C$3</f>
        <v/>
      </c>
      <c r="R34" s="26">
        <f>O34*P34*$C$3</f>
        <v/>
      </c>
    </row>
    <row r="35">
      <c r="A35" s="22" t="n">
        <v>29</v>
      </c>
      <c r="B35" s="12" t="inlineStr">
        <is>
          <t>68nH</t>
        </is>
      </c>
      <c r="C35" s="12" t="inlineStr">
        <is>
          <t>L4</t>
        </is>
      </c>
      <c r="D35" s="22" t="n">
        <v>1</v>
      </c>
      <c r="E35" s="23" t="n">
        <v>0.1</v>
      </c>
      <c r="F35" s="23" t="n">
        <v>0.1</v>
      </c>
      <c r="G35" s="24" t="n">
        <v>1</v>
      </c>
      <c r="H35" s="27" t="inlineStr">
        <is>
          <t>est</t>
        </is>
      </c>
      <c r="I35" s="12" t="inlineStr">
        <is>
          <t>no LCSC price; Arrow ~$0.065</t>
        </is>
      </c>
      <c r="J35" s="22">
        <f>MAX(D35,G35)</f>
        <v/>
      </c>
      <c r="K35" s="25">
        <f>E35</f>
        <v/>
      </c>
      <c r="L35" s="26">
        <f>D35*K35*$C$3</f>
        <v/>
      </c>
      <c r="M35" s="26">
        <f>J35*K35*$C$3</f>
        <v/>
      </c>
      <c r="N35" s="22">
        <f>D35*5</f>
        <v/>
      </c>
      <c r="O35" s="22">
        <f>MAX(N35,G35)</f>
        <v/>
      </c>
      <c r="P35" s="25">
        <f>IF(O35&gt;=10,F35,E35)</f>
        <v/>
      </c>
      <c r="Q35" s="26">
        <f>N35*P35*$C$3</f>
        <v/>
      </c>
      <c r="R35" s="26">
        <f>O35*P35*$C$3</f>
        <v/>
      </c>
    </row>
    <row r="36">
      <c r="A36" s="22" t="n">
        <v>30</v>
      </c>
      <c r="B36" s="12" t="inlineStr">
        <is>
          <t>8MHz</t>
        </is>
      </c>
      <c r="C36" s="12" t="inlineStr">
        <is>
          <t>Y1</t>
        </is>
      </c>
      <c r="D36" s="22" t="n">
        <v>1</v>
      </c>
      <c r="E36" s="23" t="n">
        <v>0.1959</v>
      </c>
      <c r="F36" s="23" t="n">
        <v>0.1959</v>
      </c>
      <c r="G36" s="24" t="n">
        <v>1</v>
      </c>
      <c r="H36" s="22" t="inlineStr">
        <is>
          <t>live</t>
        </is>
      </c>
      <c r="I36" s="12" t="inlineStr">
        <is>
          <t>JLC 1+</t>
        </is>
      </c>
      <c r="J36" s="22">
        <f>MAX(D36,G36)</f>
        <v/>
      </c>
      <c r="K36" s="25">
        <f>E36</f>
        <v/>
      </c>
      <c r="L36" s="26">
        <f>D36*K36*$C$3</f>
        <v/>
      </c>
      <c r="M36" s="26">
        <f>J36*K36*$C$3</f>
        <v/>
      </c>
      <c r="N36" s="22">
        <f>D36*5</f>
        <v/>
      </c>
      <c r="O36" s="22">
        <f>MAX(N36,G36)</f>
        <v/>
      </c>
      <c r="P36" s="25">
        <f>IF(O36&gt;=10,F36,E36)</f>
        <v/>
      </c>
      <c r="Q36" s="26">
        <f>N36*P36*$C$3</f>
        <v/>
      </c>
      <c r="R36" s="26">
        <f>O36*P36*$C$3</f>
        <v/>
      </c>
    </row>
    <row r="37">
      <c r="A37" s="22" t="n">
        <v>31</v>
      </c>
      <c r="B37" s="12" t="inlineStr">
        <is>
          <t>32.768kHz</t>
        </is>
      </c>
      <c r="C37" s="12" t="inlineStr">
        <is>
          <t>Y2</t>
        </is>
      </c>
      <c r="D37" s="22" t="n">
        <v>1</v>
      </c>
      <c r="E37" s="23" t="n">
        <v>0.1734</v>
      </c>
      <c r="F37" s="23" t="n">
        <v>0.1734</v>
      </c>
      <c r="G37" s="24" t="n">
        <v>5</v>
      </c>
      <c r="H37" s="22" t="inlineStr">
        <is>
          <t>live</t>
        </is>
      </c>
      <c r="I37" s="12" t="inlineStr">
        <is>
          <t>LCSC 5+</t>
        </is>
      </c>
      <c r="J37" s="22">
        <f>MAX(D37,G37)</f>
        <v/>
      </c>
      <c r="K37" s="25">
        <f>E37</f>
        <v/>
      </c>
      <c r="L37" s="26">
        <f>D37*K37*$C$3</f>
        <v/>
      </c>
      <c r="M37" s="26">
        <f>J37*K37*$C$3</f>
        <v/>
      </c>
      <c r="N37" s="22">
        <f>D37*5</f>
        <v/>
      </c>
      <c r="O37" s="22">
        <f>MAX(N37,G37)</f>
        <v/>
      </c>
      <c r="P37" s="25">
        <f>IF(O37&gt;=10,F37,E37)</f>
        <v/>
      </c>
      <c r="Q37" s="26">
        <f>N37*P37*$C$3</f>
        <v/>
      </c>
      <c r="R37" s="26">
        <f>O37*P37*$C$3</f>
        <v/>
      </c>
    </row>
    <row r="38">
      <c r="A38" s="22" t="n">
        <v>32</v>
      </c>
      <c r="B38" s="12" t="inlineStr">
        <is>
          <t>U.FL</t>
        </is>
      </c>
      <c r="C38" s="12" t="inlineStr">
        <is>
          <t>AF1, AF2</t>
        </is>
      </c>
      <c r="D38" s="22" t="n">
        <v>2</v>
      </c>
      <c r="E38" s="23" t="n">
        <v>0.05</v>
      </c>
      <c r="F38" s="23" t="n">
        <v>0.05</v>
      </c>
      <c r="G38" s="24" t="n">
        <v>1</v>
      </c>
      <c r="H38" s="27" t="inlineStr">
        <is>
          <t>est</t>
        </is>
      </c>
      <c r="I38" s="12" t="inlineStr">
        <is>
          <t>similar IPEX1 parts from $0.04</t>
        </is>
      </c>
      <c r="J38" s="22">
        <f>MAX(D38,G38)</f>
        <v/>
      </c>
      <c r="K38" s="25">
        <f>E38</f>
        <v/>
      </c>
      <c r="L38" s="26">
        <f>D38*K38*$C$3</f>
        <v/>
      </c>
      <c r="M38" s="26">
        <f>J38*K38*$C$3</f>
        <v/>
      </c>
      <c r="N38" s="22">
        <f>D38*5</f>
        <v/>
      </c>
      <c r="O38" s="22">
        <f>MAX(N38,G38)</f>
        <v/>
      </c>
      <c r="P38" s="25">
        <f>IF(O38&gt;=10,F38,E38)</f>
        <v/>
      </c>
      <c r="Q38" s="26">
        <f>N38*P38*$C$3</f>
        <v/>
      </c>
      <c r="R38" s="26">
        <f>O38*P38*$C$3</f>
        <v/>
      </c>
    </row>
    <row r="39">
      <c r="A39" s="22" t="n">
        <v>33</v>
      </c>
      <c r="B39" s="12" t="inlineStr">
        <is>
          <t>WAFER-MX3.0-12PZZ</t>
        </is>
      </c>
      <c r="C39" s="12" t="inlineStr">
        <is>
          <t>J1</t>
        </is>
      </c>
      <c r="D39" s="22" t="n">
        <v>1</v>
      </c>
      <c r="E39" s="23" t="n">
        <v>0.21</v>
      </c>
      <c r="F39" s="23" t="n">
        <v>0.21</v>
      </c>
      <c r="G39" s="24" t="n">
        <v>1</v>
      </c>
      <c r="H39" s="27" t="inlineStr">
        <is>
          <t>est</t>
        </is>
      </c>
      <c r="I39" s="12" t="inlineStr">
        <is>
          <t>design log $0.21@500</t>
        </is>
      </c>
      <c r="J39" s="22">
        <f>MAX(D39,G39)</f>
        <v/>
      </c>
      <c r="K39" s="25">
        <f>E39</f>
        <v/>
      </c>
      <c r="L39" s="26">
        <f>D39*K39*$C$3</f>
        <v/>
      </c>
      <c r="M39" s="26">
        <f>J39*K39*$C$3</f>
        <v/>
      </c>
      <c r="N39" s="22">
        <f>D39*5</f>
        <v/>
      </c>
      <c r="O39" s="22">
        <f>MAX(N39,G39)</f>
        <v/>
      </c>
      <c r="P39" s="25">
        <f>IF(O39&gt;=10,F39,E39)</f>
        <v/>
      </c>
      <c r="Q39" s="26">
        <f>N39*P39*$C$3</f>
        <v/>
      </c>
      <c r="R39" s="26">
        <f>O39*P39*$C$3</f>
        <v/>
      </c>
    </row>
    <row r="40">
      <c r="A40" s="22" t="n">
        <v>34</v>
      </c>
      <c r="B40" s="12" t="inlineStr">
        <is>
          <t>B3B-XH-A</t>
        </is>
      </c>
      <c r="C40" s="12" t="inlineStr">
        <is>
          <t>J2</t>
        </is>
      </c>
      <c r="D40" s="22" t="n">
        <v>1</v>
      </c>
      <c r="E40" s="23" t="n">
        <v>0.0546</v>
      </c>
      <c r="F40" s="23" t="n">
        <v>0.0546</v>
      </c>
      <c r="G40" s="24" t="n">
        <v>10</v>
      </c>
      <c r="H40" s="22" t="inlineStr">
        <is>
          <t>live</t>
        </is>
      </c>
      <c r="I40" s="12" t="inlineStr">
        <is>
          <t>LCSC 10+</t>
        </is>
      </c>
      <c r="J40" s="22">
        <f>MAX(D40,G40)</f>
        <v/>
      </c>
      <c r="K40" s="25">
        <f>E40</f>
        <v/>
      </c>
      <c r="L40" s="26">
        <f>D40*K40*$C$3</f>
        <v/>
      </c>
      <c r="M40" s="26">
        <f>J40*K40*$C$3</f>
        <v/>
      </c>
      <c r="N40" s="22">
        <f>D40*5</f>
        <v/>
      </c>
      <c r="O40" s="22">
        <f>MAX(N40,G40)</f>
        <v/>
      </c>
      <c r="P40" s="25">
        <f>IF(O40&gt;=10,F40,E40)</f>
        <v/>
      </c>
      <c r="Q40" s="26">
        <f>N40*P40*$C$3</f>
        <v/>
      </c>
      <c r="R40" s="26">
        <f>O40*P40*$C$3</f>
        <v/>
      </c>
    </row>
    <row r="41">
      <c r="A41" s="22" t="n">
        <v>35</v>
      </c>
      <c r="B41" s="12" t="inlineStr">
        <is>
          <t>NANO-SIM</t>
        </is>
      </c>
      <c r="C41" s="12" t="inlineStr">
        <is>
          <t>X1</t>
        </is>
      </c>
      <c r="D41" s="22" t="n">
        <v>1</v>
      </c>
      <c r="E41" s="23" t="n">
        <v>0.181</v>
      </c>
      <c r="F41" s="23" t="n">
        <v>0.181</v>
      </c>
      <c r="G41" s="24" t="n">
        <v>1</v>
      </c>
      <c r="H41" s="27" t="inlineStr">
        <is>
          <t>est</t>
        </is>
      </c>
      <c r="I41" s="12" t="inlineStr">
        <is>
          <t>design log $0.181</t>
        </is>
      </c>
      <c r="J41" s="22">
        <f>MAX(D41,G41)</f>
        <v/>
      </c>
      <c r="K41" s="25">
        <f>E41</f>
        <v/>
      </c>
      <c r="L41" s="26">
        <f>D41*K41*$C$3</f>
        <v/>
      </c>
      <c r="M41" s="26">
        <f>J41*K41*$C$3</f>
        <v/>
      </c>
      <c r="N41" s="22">
        <f>D41*5</f>
        <v/>
      </c>
      <c r="O41" s="22">
        <f>MAX(N41,G41)</f>
        <v/>
      </c>
      <c r="P41" s="25">
        <f>IF(O41&gt;=10,F41,E41)</f>
        <v/>
      </c>
      <c r="Q41" s="26">
        <f>N41*P41*$C$3</f>
        <v/>
      </c>
      <c r="R41" s="26">
        <f>O41*P41*$C$3</f>
        <v/>
      </c>
    </row>
    <row r="42">
      <c r="A42" s="22" t="n">
        <v>36</v>
      </c>
      <c r="B42" s="12" t="inlineStr">
        <is>
          <t>6.8pF 0603</t>
        </is>
      </c>
      <c r="C42" s="12" t="inlineStr">
        <is>
          <t>C3, C4</t>
        </is>
      </c>
      <c r="D42" s="22" t="n">
        <v>2</v>
      </c>
      <c r="E42" s="23" t="n">
        <v>0.0041</v>
      </c>
      <c r="F42" s="23" t="n">
        <v>0.0041</v>
      </c>
      <c r="G42" s="24" t="n">
        <v>100</v>
      </c>
      <c r="H42" s="27" t="inlineStr">
        <is>
          <t>est</t>
        </is>
      </c>
      <c r="I42" s="12" t="inlineStr">
        <is>
          <t>as small 0603/0402 MLCC</t>
        </is>
      </c>
      <c r="J42" s="22">
        <f>MAX(D42,G42)</f>
        <v/>
      </c>
      <c r="K42" s="25">
        <f>E42</f>
        <v/>
      </c>
      <c r="L42" s="26">
        <f>D42*K42*$C$3</f>
        <v/>
      </c>
      <c r="M42" s="26">
        <f>J42*K42*$C$3</f>
        <v/>
      </c>
      <c r="N42" s="22">
        <f>D42*5</f>
        <v/>
      </c>
      <c r="O42" s="22">
        <f>MAX(N42,G42)</f>
        <v/>
      </c>
      <c r="P42" s="25">
        <f>IF(O42&gt;=10,F42,E42)</f>
        <v/>
      </c>
      <c r="Q42" s="26">
        <f>N42*P42*$C$3</f>
        <v/>
      </c>
      <c r="R42" s="26">
        <f>O42*P42*$C$3</f>
        <v/>
      </c>
    </row>
    <row r="43">
      <c r="A43" s="22" t="n">
        <v>37</v>
      </c>
      <c r="B43" s="12" t="inlineStr">
        <is>
          <t>18pF 0603</t>
        </is>
      </c>
      <c r="C43" s="12" t="inlineStr">
        <is>
          <t>C1, C2</t>
        </is>
      </c>
      <c r="D43" s="22" t="n">
        <v>2</v>
      </c>
      <c r="E43" s="23" t="n">
        <v>0.0041</v>
      </c>
      <c r="F43" s="23" t="n">
        <v>0.0041</v>
      </c>
      <c r="G43" s="24" t="n">
        <v>100</v>
      </c>
      <c r="H43" s="27" t="inlineStr">
        <is>
          <t>alt</t>
        </is>
      </c>
      <c r="I43" s="12" t="inlineStr">
        <is>
          <t>LCSC C1653 100+ (it is 22pF)</t>
        </is>
      </c>
      <c r="J43" s="22">
        <f>MAX(D43,G43)</f>
        <v/>
      </c>
      <c r="K43" s="25">
        <f>E43</f>
        <v/>
      </c>
      <c r="L43" s="26">
        <f>D43*K43*$C$3</f>
        <v/>
      </c>
      <c r="M43" s="26">
        <f>J43*K43*$C$3</f>
        <v/>
      </c>
      <c r="N43" s="22">
        <f>D43*5</f>
        <v/>
      </c>
      <c r="O43" s="22">
        <f>MAX(N43,G43)</f>
        <v/>
      </c>
      <c r="P43" s="25">
        <f>IF(O43&gt;=10,F43,E43)</f>
        <v/>
      </c>
      <c r="Q43" s="26">
        <f>N43*P43*$C$3</f>
        <v/>
      </c>
      <c r="R43" s="26">
        <f>O43*P43*$C$3</f>
        <v/>
      </c>
    </row>
    <row r="44">
      <c r="A44" s="22" t="n">
        <v>38</v>
      </c>
      <c r="B44" s="12" t="inlineStr">
        <is>
          <t>100pF C0G 0402</t>
        </is>
      </c>
      <c r="C44" s="12" t="inlineStr">
        <is>
          <t>C84</t>
        </is>
      </c>
      <c r="D44" s="22" t="n">
        <v>1</v>
      </c>
      <c r="E44" s="23" t="n">
        <v>0.0041</v>
      </c>
      <c r="F44" s="23" t="n">
        <v>0.0041</v>
      </c>
      <c r="G44" s="24" t="n">
        <v>100</v>
      </c>
      <c r="H44" s="27" t="inlineStr">
        <is>
          <t>est</t>
        </is>
      </c>
      <c r="I44" s="12" t="inlineStr">
        <is>
          <t>as small 0603/0402 MLCC</t>
        </is>
      </c>
      <c r="J44" s="22">
        <f>MAX(D44,G44)</f>
        <v/>
      </c>
      <c r="K44" s="25">
        <f>E44</f>
        <v/>
      </c>
      <c r="L44" s="26">
        <f>D44*K44*$C$3</f>
        <v/>
      </c>
      <c r="M44" s="26">
        <f>J44*K44*$C$3</f>
        <v/>
      </c>
      <c r="N44" s="22">
        <f>D44*5</f>
        <v/>
      </c>
      <c r="O44" s="22">
        <f>MAX(N44,G44)</f>
        <v/>
      </c>
      <c r="P44" s="25">
        <f>IF(O44&gt;=10,F44,E44)</f>
        <v/>
      </c>
      <c r="Q44" s="26">
        <f>N44*P44*$C$3</f>
        <v/>
      </c>
      <c r="R44" s="26">
        <f>O44*P44*$C$3</f>
        <v/>
      </c>
    </row>
    <row r="45">
      <c r="A45" s="22" t="n">
        <v>39</v>
      </c>
      <c r="B45" s="12" t="inlineStr">
        <is>
          <t>4.7nF 0603</t>
        </is>
      </c>
      <c r="C45" s="12" t="inlineStr">
        <is>
          <t>C22</t>
        </is>
      </c>
      <c r="D45" s="22" t="n">
        <v>1</v>
      </c>
      <c r="E45" s="23" t="n">
        <v>0.0041</v>
      </c>
      <c r="F45" s="23" t="n">
        <v>0.0041</v>
      </c>
      <c r="G45" s="24" t="n">
        <v>100</v>
      </c>
      <c r="H45" s="27" t="inlineStr">
        <is>
          <t>est</t>
        </is>
      </c>
      <c r="I45" s="12" t="inlineStr">
        <is>
          <t>as small 0603/0402 MLCC</t>
        </is>
      </c>
      <c r="J45" s="22">
        <f>MAX(D45,G45)</f>
        <v/>
      </c>
      <c r="K45" s="25">
        <f>E45</f>
        <v/>
      </c>
      <c r="L45" s="26">
        <f>D45*K45*$C$3</f>
        <v/>
      </c>
      <c r="M45" s="26">
        <f>J45*K45*$C$3</f>
        <v/>
      </c>
      <c r="N45" s="22">
        <f>D45*5</f>
        <v/>
      </c>
      <c r="O45" s="22">
        <f>MAX(N45,G45)</f>
        <v/>
      </c>
      <c r="P45" s="25">
        <f>IF(O45&gt;=10,F45,E45)</f>
        <v/>
      </c>
      <c r="Q45" s="26">
        <f>N45*P45*$C$3</f>
        <v/>
      </c>
      <c r="R45" s="26">
        <f>O45*P45*$C$3</f>
        <v/>
      </c>
    </row>
    <row r="46">
      <c r="A46" s="22" t="n">
        <v>40</v>
      </c>
      <c r="B46" s="12" t="inlineStr">
        <is>
          <t>10nF 0402</t>
        </is>
      </c>
      <c r="C46" s="12" t="inlineStr">
        <is>
          <t>C85</t>
        </is>
      </c>
      <c r="D46" s="22" t="n">
        <v>1</v>
      </c>
      <c r="E46" s="23" t="n">
        <v>0.0041</v>
      </c>
      <c r="F46" s="23" t="n">
        <v>0.0041</v>
      </c>
      <c r="G46" s="24" t="n">
        <v>100</v>
      </c>
      <c r="H46" s="27" t="inlineStr">
        <is>
          <t>est</t>
        </is>
      </c>
      <c r="I46" s="12" t="inlineStr">
        <is>
          <t>as small 0603/0402 MLCC</t>
        </is>
      </c>
      <c r="J46" s="22">
        <f>MAX(D46,G46)</f>
        <v/>
      </c>
      <c r="K46" s="25">
        <f>E46</f>
        <v/>
      </c>
      <c r="L46" s="26">
        <f>D46*K46*$C$3</f>
        <v/>
      </c>
      <c r="M46" s="26">
        <f>J46*K46*$C$3</f>
        <v/>
      </c>
      <c r="N46" s="22">
        <f>D46*5</f>
        <v/>
      </c>
      <c r="O46" s="22">
        <f>MAX(N46,G46)</f>
        <v/>
      </c>
      <c r="P46" s="25">
        <f>IF(O46&gt;=10,F46,E46)</f>
        <v/>
      </c>
      <c r="Q46" s="26">
        <f>N46*P46*$C$3</f>
        <v/>
      </c>
      <c r="R46" s="26">
        <f>O46*P46*$C$3</f>
        <v/>
      </c>
    </row>
    <row r="47">
      <c r="A47" s="22" t="n">
        <v>41</v>
      </c>
      <c r="B47" s="12" t="inlineStr">
        <is>
          <t>47nF 0603</t>
        </is>
      </c>
      <c r="C47" s="12" t="inlineStr">
        <is>
          <t>C64</t>
        </is>
      </c>
      <c r="D47" s="22" t="n">
        <v>1</v>
      </c>
      <c r="E47" s="23" t="n">
        <v>0.0041</v>
      </c>
      <c r="F47" s="23" t="n">
        <v>0.0041</v>
      </c>
      <c r="G47" s="24" t="n">
        <v>100</v>
      </c>
      <c r="H47" s="27" t="inlineStr">
        <is>
          <t>est</t>
        </is>
      </c>
      <c r="I47" s="12" t="inlineStr">
        <is>
          <t>as small 0603/0402 MLCC</t>
        </is>
      </c>
      <c r="J47" s="22">
        <f>MAX(D47,G47)</f>
        <v/>
      </c>
      <c r="K47" s="25">
        <f>E47</f>
        <v/>
      </c>
      <c r="L47" s="26">
        <f>D47*K47*$C$3</f>
        <v/>
      </c>
      <c r="M47" s="26">
        <f>J47*K47*$C$3</f>
        <v/>
      </c>
      <c r="N47" s="22">
        <f>D47*5</f>
        <v/>
      </c>
      <c r="O47" s="22">
        <f>MAX(N47,G47)</f>
        <v/>
      </c>
      <c r="P47" s="25">
        <f>IF(O47&gt;=10,F47,E47)</f>
        <v/>
      </c>
      <c r="Q47" s="26">
        <f>N47*P47*$C$3</f>
        <v/>
      </c>
      <c r="R47" s="26">
        <f>O47*P47*$C$3</f>
        <v/>
      </c>
    </row>
    <row r="48">
      <c r="A48" s="22" t="n">
        <v>42</v>
      </c>
      <c r="B48" s="12" t="inlineStr">
        <is>
          <t>100nF 0603</t>
        </is>
      </c>
      <c r="C48" s="12" t="inlineStr">
        <is>
          <t>C5, C6, C8, C9, C10, C11, C13, C20, C23, C24, C25, C26, C27, C28, C29, C43, C45, C46, C47, C76, C80</t>
        </is>
      </c>
      <c r="D48" s="22" t="n">
        <v>21</v>
      </c>
      <c r="E48" s="23" t="n">
        <v>0.0031</v>
      </c>
      <c r="F48" s="23" t="n">
        <v>0.0031</v>
      </c>
      <c r="G48" s="24" t="n">
        <v>100</v>
      </c>
      <c r="H48" s="22" t="inlineStr">
        <is>
          <t>live</t>
        </is>
      </c>
      <c r="I48" s="12" t="inlineStr">
        <is>
          <t>LCSC 100+</t>
        </is>
      </c>
      <c r="J48" s="22">
        <f>MAX(D48,G48)</f>
        <v/>
      </c>
      <c r="K48" s="25">
        <f>E48</f>
        <v/>
      </c>
      <c r="L48" s="26">
        <f>D48*K48*$C$3</f>
        <v/>
      </c>
      <c r="M48" s="26">
        <f>J48*K48*$C$3</f>
        <v/>
      </c>
      <c r="N48" s="22">
        <f>D48*5</f>
        <v/>
      </c>
      <c r="O48" s="22">
        <f>MAX(N48,G48)</f>
        <v/>
      </c>
      <c r="P48" s="25">
        <f>IF(O48&gt;=10,F48,E48)</f>
        <v/>
      </c>
      <c r="Q48" s="26">
        <f>N48*P48*$C$3</f>
        <v/>
      </c>
      <c r="R48" s="26">
        <f>O48*P48*$C$3</f>
        <v/>
      </c>
    </row>
    <row r="49">
      <c r="A49" s="22" t="n">
        <v>43</v>
      </c>
      <c r="B49" s="12" t="inlineStr">
        <is>
          <t>100nF 0603</t>
        </is>
      </c>
      <c r="C49" s="12" t="inlineStr">
        <is>
          <t>C72</t>
        </is>
      </c>
      <c r="D49" s="22" t="n">
        <v>1</v>
      </c>
      <c r="E49" s="23" t="n">
        <v>0.03</v>
      </c>
      <c r="F49" s="23" t="n">
        <v>0.03</v>
      </c>
      <c r="G49" s="24" t="n">
        <v>20</v>
      </c>
      <c r="H49" s="27" t="inlineStr">
        <is>
          <t>est</t>
        </is>
      </c>
      <c r="I49" s="12" t="inlineStr">
        <is>
          <t>100V X7R 0805/1206 estimate</t>
        </is>
      </c>
      <c r="J49" s="22">
        <f>MAX(D49,G49)</f>
        <v/>
      </c>
      <c r="K49" s="25">
        <f>E49</f>
        <v/>
      </c>
      <c r="L49" s="26">
        <f>D49*K49*$C$3</f>
        <v/>
      </c>
      <c r="M49" s="26">
        <f>J49*K49*$C$3</f>
        <v/>
      </c>
      <c r="N49" s="22">
        <f>D49*5</f>
        <v/>
      </c>
      <c r="O49" s="22">
        <f>MAX(N49,G49)</f>
        <v/>
      </c>
      <c r="P49" s="25">
        <f>IF(O49&gt;=10,F49,E49)</f>
        <v/>
      </c>
      <c r="Q49" s="26">
        <f>N49*P49*$C$3</f>
        <v/>
      </c>
      <c r="R49" s="26">
        <f>O49*P49*$C$3</f>
        <v/>
      </c>
    </row>
    <row r="50">
      <c r="A50" s="22" t="n">
        <v>44</v>
      </c>
      <c r="B50" s="12" t="inlineStr">
        <is>
          <t>100nF 0402</t>
        </is>
      </c>
      <c r="C50" s="12" t="inlineStr">
        <is>
          <t>C83</t>
        </is>
      </c>
      <c r="D50" s="22" t="n">
        <v>1</v>
      </c>
      <c r="E50" s="23" t="n">
        <v>0.0041</v>
      </c>
      <c r="F50" s="23" t="n">
        <v>0.0041</v>
      </c>
      <c r="G50" s="24" t="n">
        <v>100</v>
      </c>
      <c r="H50" s="27" t="inlineStr">
        <is>
          <t>est</t>
        </is>
      </c>
      <c r="I50" s="12" t="inlineStr">
        <is>
          <t>as small 0603/0402 MLCC</t>
        </is>
      </c>
      <c r="J50" s="22">
        <f>MAX(D50,G50)</f>
        <v/>
      </c>
      <c r="K50" s="25">
        <f>E50</f>
        <v/>
      </c>
      <c r="L50" s="26">
        <f>D50*K50*$C$3</f>
        <v/>
      </c>
      <c r="M50" s="26">
        <f>J50*K50*$C$3</f>
        <v/>
      </c>
      <c r="N50" s="22">
        <f>D50*5</f>
        <v/>
      </c>
      <c r="O50" s="22">
        <f>MAX(N50,G50)</f>
        <v/>
      </c>
      <c r="P50" s="25">
        <f>IF(O50&gt;=10,F50,E50)</f>
        <v/>
      </c>
      <c r="Q50" s="26">
        <f>N50*P50*$C$3</f>
        <v/>
      </c>
      <c r="R50" s="26">
        <f>O50*P50*$C$3</f>
        <v/>
      </c>
    </row>
    <row r="51">
      <c r="A51" s="22" t="n">
        <v>45</v>
      </c>
      <c r="B51" s="12" t="inlineStr">
        <is>
          <t>1uF 0603</t>
        </is>
      </c>
      <c r="C51" s="12" t="inlineStr">
        <is>
          <t>C7, C14, C21, C42, C44, C61, C68, C69, C75</t>
        </is>
      </c>
      <c r="D51" s="22" t="n">
        <v>9</v>
      </c>
      <c r="E51" s="23" t="n">
        <v>0.0275</v>
      </c>
      <c r="F51" s="23" t="n">
        <v>0.0275</v>
      </c>
      <c r="G51" s="24" t="n">
        <v>50</v>
      </c>
      <c r="H51" s="22" t="inlineStr">
        <is>
          <t>live</t>
        </is>
      </c>
      <c r="I51" s="12" t="inlineStr">
        <is>
          <t>LCSC 50+</t>
        </is>
      </c>
      <c r="J51" s="22">
        <f>MAX(D51,G51)</f>
        <v/>
      </c>
      <c r="K51" s="25">
        <f>E51</f>
        <v/>
      </c>
      <c r="L51" s="26">
        <f>D51*K51*$C$3</f>
        <v/>
      </c>
      <c r="M51" s="26">
        <f>J51*K51*$C$3</f>
        <v/>
      </c>
      <c r="N51" s="22">
        <f>D51*5</f>
        <v/>
      </c>
      <c r="O51" s="22">
        <f>MAX(N51,G51)</f>
        <v/>
      </c>
      <c r="P51" s="25">
        <f>IF(O51&gt;=10,F51,E51)</f>
        <v/>
      </c>
      <c r="Q51" s="26">
        <f>N51*P51*$C$3</f>
        <v/>
      </c>
      <c r="R51" s="26">
        <f>O51*P51*$C$3</f>
        <v/>
      </c>
    </row>
    <row r="52">
      <c r="A52" s="22" t="n">
        <v>46</v>
      </c>
      <c r="B52" s="12" t="inlineStr">
        <is>
          <t>2.2uF 100V 1210</t>
        </is>
      </c>
      <c r="C52" s="12" t="inlineStr">
        <is>
          <t>C70, C71, C73, C74</t>
        </is>
      </c>
      <c r="D52" s="22" t="n">
        <v>4</v>
      </c>
      <c r="E52" s="23" t="n">
        <v>0.08</v>
      </c>
      <c r="F52" s="23" t="n">
        <v>0.08</v>
      </c>
      <c r="G52" s="24" t="n">
        <v>10</v>
      </c>
      <c r="H52" s="27" t="inlineStr">
        <is>
          <t>est</t>
        </is>
      </c>
      <c r="I52" s="12" t="inlineStr">
        <is>
          <t>no price found</t>
        </is>
      </c>
      <c r="J52" s="22">
        <f>MAX(D52,G52)</f>
        <v/>
      </c>
      <c r="K52" s="25">
        <f>E52</f>
        <v/>
      </c>
      <c r="L52" s="26">
        <f>D52*K52*$C$3</f>
        <v/>
      </c>
      <c r="M52" s="26">
        <f>J52*K52*$C$3</f>
        <v/>
      </c>
      <c r="N52" s="22">
        <f>D52*5</f>
        <v/>
      </c>
      <c r="O52" s="22">
        <f>MAX(N52,G52)</f>
        <v/>
      </c>
      <c r="P52" s="25">
        <f>IF(O52&gt;=10,F52,E52)</f>
        <v/>
      </c>
      <c r="Q52" s="26">
        <f>N52*P52*$C$3</f>
        <v/>
      </c>
      <c r="R52" s="26">
        <f>O52*P52*$C$3</f>
        <v/>
      </c>
    </row>
    <row r="53">
      <c r="A53" s="22" t="n">
        <v>47</v>
      </c>
      <c r="B53" s="12" t="inlineStr">
        <is>
          <t>4.7uF 0805</t>
        </is>
      </c>
      <c r="C53" s="12" t="inlineStr">
        <is>
          <t>C12, C63</t>
        </is>
      </c>
      <c r="D53" s="22" t="n">
        <v>2</v>
      </c>
      <c r="E53" s="23" t="n">
        <v>0.0348</v>
      </c>
      <c r="F53" s="23" t="n">
        <v>0.0348</v>
      </c>
      <c r="G53" s="24" t="n">
        <v>20</v>
      </c>
      <c r="H53" s="27" t="inlineStr">
        <is>
          <t>alt</t>
        </is>
      </c>
      <c r="I53" s="12" t="inlineStr">
        <is>
          <t>0805 4.7uF C1779 20+ (C23733 is 0402)</t>
        </is>
      </c>
      <c r="J53" s="22">
        <f>MAX(D53,G53)</f>
        <v/>
      </c>
      <c r="K53" s="25">
        <f>E53</f>
        <v/>
      </c>
      <c r="L53" s="26">
        <f>D53*K53*$C$3</f>
        <v/>
      </c>
      <c r="M53" s="26">
        <f>J53*K53*$C$3</f>
        <v/>
      </c>
      <c r="N53" s="22">
        <f>D53*5</f>
        <v/>
      </c>
      <c r="O53" s="22">
        <f>MAX(N53,G53)</f>
        <v/>
      </c>
      <c r="P53" s="25">
        <f>IF(O53&gt;=10,F53,E53)</f>
        <v/>
      </c>
      <c r="Q53" s="26">
        <f>N53*P53*$C$3</f>
        <v/>
      </c>
      <c r="R53" s="26">
        <f>O53*P53*$C$3</f>
        <v/>
      </c>
    </row>
    <row r="54">
      <c r="A54" s="22" t="n">
        <v>48</v>
      </c>
      <c r="B54" s="12" t="inlineStr">
        <is>
          <t>10uF 0805</t>
        </is>
      </c>
      <c r="C54" s="12" t="inlineStr">
        <is>
          <t>C62, C65, C66, C67, C77, C78, C79</t>
        </is>
      </c>
      <c r="D54" s="22" t="n">
        <v>7</v>
      </c>
      <c r="E54" s="23" t="n">
        <v>0.1052</v>
      </c>
      <c r="F54" s="23" t="n">
        <v>0.1052</v>
      </c>
      <c r="G54" s="24" t="n">
        <v>5</v>
      </c>
      <c r="H54" s="22" t="inlineStr">
        <is>
          <t>live</t>
        </is>
      </c>
      <c r="I54" s="12" t="inlineStr">
        <is>
          <t>LCSC 5+</t>
        </is>
      </c>
      <c r="J54" s="22">
        <f>MAX(D54,G54)</f>
        <v/>
      </c>
      <c r="K54" s="25">
        <f>E54</f>
        <v/>
      </c>
      <c r="L54" s="26">
        <f>D54*K54*$C$3</f>
        <v/>
      </c>
      <c r="M54" s="26">
        <f>J54*K54*$C$3</f>
        <v/>
      </c>
      <c r="N54" s="22">
        <f>D54*5</f>
        <v/>
      </c>
      <c r="O54" s="22">
        <f>MAX(N54,G54)</f>
        <v/>
      </c>
      <c r="P54" s="25">
        <f>IF(O54&gt;=10,F54,E54)</f>
        <v/>
      </c>
      <c r="Q54" s="26">
        <f>N54*P54*$C$3</f>
        <v/>
      </c>
      <c r="R54" s="26">
        <f>O54*P54*$C$3</f>
        <v/>
      </c>
    </row>
    <row r="55">
      <c r="A55" s="22" t="n">
        <v>49</v>
      </c>
      <c r="B55" s="12" t="inlineStr">
        <is>
          <t>47uF X7R 1210</t>
        </is>
      </c>
      <c r="C55" s="12" t="inlineStr">
        <is>
          <t>C40, C41, C81, C82</t>
        </is>
      </c>
      <c r="D55" s="22" t="n">
        <v>4</v>
      </c>
      <c r="E55" s="23" t="n">
        <v>0.4878</v>
      </c>
      <c r="F55" s="23" t="n">
        <v>0.3811</v>
      </c>
      <c r="G55" s="24" t="n">
        <v>1</v>
      </c>
      <c r="H55" s="22" t="inlineStr">
        <is>
          <t>live</t>
        </is>
      </c>
      <c r="I55" s="12" t="inlineStr">
        <is>
          <t>LCSC C84494</t>
        </is>
      </c>
      <c r="J55" s="22">
        <f>MAX(D55,G55)</f>
        <v/>
      </c>
      <c r="K55" s="25">
        <f>E55</f>
        <v/>
      </c>
      <c r="L55" s="26">
        <f>D55*K55*$C$3</f>
        <v/>
      </c>
      <c r="M55" s="26">
        <f>J55*K55*$C$3</f>
        <v/>
      </c>
      <c r="N55" s="22">
        <f>D55*5</f>
        <v/>
      </c>
      <c r="O55" s="22">
        <f>MAX(N55,G55)</f>
        <v/>
      </c>
      <c r="P55" s="25">
        <f>IF(O55&gt;=10,F55,E55)</f>
        <v/>
      </c>
      <c r="Q55" s="26">
        <f>N55*P55*$C$3</f>
        <v/>
      </c>
      <c r="R55" s="26">
        <f>O55*P55*$C$3</f>
        <v/>
      </c>
    </row>
    <row r="56">
      <c r="A56" s="22" t="n">
        <v>50</v>
      </c>
      <c r="B56" s="12" t="inlineStr">
        <is>
          <t>0R 0805</t>
        </is>
      </c>
      <c r="C56" s="12" t="inlineStr">
        <is>
          <t>R3, R69, R82</t>
        </is>
      </c>
      <c r="D56" s="22" t="n">
        <v>3</v>
      </c>
      <c r="E56" s="23" t="n">
        <v>0.0025</v>
      </c>
      <c r="F56" s="23" t="n">
        <v>0.0025</v>
      </c>
      <c r="G56" s="24" t="n">
        <v>100</v>
      </c>
      <c r="H56" s="27" t="inlineStr">
        <is>
          <t>est</t>
        </is>
      </c>
      <c r="I56" s="12" t="inlineStr">
        <is>
          <t>as 0805 1% resistor C17414</t>
        </is>
      </c>
      <c r="J56" s="22">
        <f>MAX(D56,G56)</f>
        <v/>
      </c>
      <c r="K56" s="25">
        <f>E56</f>
        <v/>
      </c>
      <c r="L56" s="26">
        <f>D56*K56*$C$3</f>
        <v/>
      </c>
      <c r="M56" s="26">
        <f>J56*K56*$C$3</f>
        <v/>
      </c>
      <c r="N56" s="22">
        <f>D56*5</f>
        <v/>
      </c>
      <c r="O56" s="22">
        <f>MAX(N56,G56)</f>
        <v/>
      </c>
      <c r="P56" s="25">
        <f>IF(O56&gt;=10,F56,E56)</f>
        <v/>
      </c>
      <c r="Q56" s="26">
        <f>N56*P56*$C$3</f>
        <v/>
      </c>
      <c r="R56" s="26">
        <f>O56*P56*$C$3</f>
        <v/>
      </c>
    </row>
    <row r="57">
      <c r="A57" s="22" t="n">
        <v>51</v>
      </c>
      <c r="B57" s="12" t="inlineStr">
        <is>
          <t>0R 0402</t>
        </is>
      </c>
      <c r="C57" s="12" t="inlineStr">
        <is>
          <t>R71, R72</t>
        </is>
      </c>
      <c r="D57" s="22" t="n">
        <v>2</v>
      </c>
      <c r="E57" s="23" t="n">
        <v>0.0025</v>
      </c>
      <c r="F57" s="23" t="n">
        <v>0.0025</v>
      </c>
      <c r="G57" s="24" t="n">
        <v>100</v>
      </c>
      <c r="H57" s="27" t="inlineStr">
        <is>
          <t>est</t>
        </is>
      </c>
      <c r="I57" s="12" t="inlineStr">
        <is>
          <t>as 0805 1% resistor C17414</t>
        </is>
      </c>
      <c r="J57" s="22">
        <f>MAX(D57,G57)</f>
        <v/>
      </c>
      <c r="K57" s="25">
        <f>E57</f>
        <v/>
      </c>
      <c r="L57" s="26">
        <f>D57*K57*$C$3</f>
        <v/>
      </c>
      <c r="M57" s="26">
        <f>J57*K57*$C$3</f>
        <v/>
      </c>
      <c r="N57" s="22">
        <f>D57*5</f>
        <v/>
      </c>
      <c r="O57" s="22">
        <f>MAX(N57,G57)</f>
        <v/>
      </c>
      <c r="P57" s="25">
        <f>IF(O57&gt;=10,F57,E57)</f>
        <v/>
      </c>
      <c r="Q57" s="26">
        <f>N57*P57*$C$3</f>
        <v/>
      </c>
      <c r="R57" s="26">
        <f>O57*P57*$C$3</f>
        <v/>
      </c>
    </row>
    <row r="58">
      <c r="A58" s="22" t="n">
        <v>52</v>
      </c>
      <c r="B58" s="12" t="inlineStr">
        <is>
          <t>1R 2512 anti-surge 2512</t>
        </is>
      </c>
      <c r="C58" s="12" t="inlineStr">
        <is>
          <t>R80</t>
        </is>
      </c>
      <c r="D58" s="22" t="n">
        <v>1</v>
      </c>
      <c r="E58" s="23" t="n">
        <v>0.15</v>
      </c>
      <c r="F58" s="23" t="n">
        <v>0.15</v>
      </c>
      <c r="G58" s="24" t="n">
        <v>5</v>
      </c>
      <c r="H58" s="27" t="inlineStr">
        <is>
          <t>est</t>
        </is>
      </c>
      <c r="I58" s="12" t="inlineStr">
        <is>
          <t>FRS2512 family $0.105-0.20</t>
        </is>
      </c>
      <c r="J58" s="22">
        <f>MAX(D58,G58)</f>
        <v/>
      </c>
      <c r="K58" s="25">
        <f>E58</f>
        <v/>
      </c>
      <c r="L58" s="26">
        <f>D58*K58*$C$3</f>
        <v/>
      </c>
      <c r="M58" s="26">
        <f>J58*K58*$C$3</f>
        <v/>
      </c>
      <c r="N58" s="22">
        <f>D58*5</f>
        <v/>
      </c>
      <c r="O58" s="22">
        <f>MAX(N58,G58)</f>
        <v/>
      </c>
      <c r="P58" s="25">
        <f>IF(O58&gt;=10,F58,E58)</f>
        <v/>
      </c>
      <c r="Q58" s="26">
        <f>N58*P58*$C$3</f>
        <v/>
      </c>
      <c r="R58" s="26">
        <f>O58*P58*$C$3</f>
        <v/>
      </c>
    </row>
    <row r="59">
      <c r="A59" s="22" t="n">
        <v>53</v>
      </c>
      <c r="B59" s="12" t="inlineStr">
        <is>
          <t>33R 0805</t>
        </is>
      </c>
      <c r="C59" s="12" t="inlineStr">
        <is>
          <t>R66, R67, R68</t>
        </is>
      </c>
      <c r="D59" s="22" t="n">
        <v>3</v>
      </c>
      <c r="E59" s="23" t="n">
        <v>0.0025</v>
      </c>
      <c r="F59" s="23" t="n">
        <v>0.0025</v>
      </c>
      <c r="G59" s="24" t="n">
        <v>100</v>
      </c>
      <c r="H59" s="27" t="inlineStr">
        <is>
          <t>est</t>
        </is>
      </c>
      <c r="I59" s="12" t="inlineStr">
        <is>
          <t>as 0805 1% resistor C17414</t>
        </is>
      </c>
      <c r="J59" s="22">
        <f>MAX(D59,G59)</f>
        <v/>
      </c>
      <c r="K59" s="25">
        <f>E59</f>
        <v/>
      </c>
      <c r="L59" s="26">
        <f>D59*K59*$C$3</f>
        <v/>
      </c>
      <c r="M59" s="26">
        <f>J59*K59*$C$3</f>
        <v/>
      </c>
      <c r="N59" s="22">
        <f>D59*5</f>
        <v/>
      </c>
      <c r="O59" s="22">
        <f>MAX(N59,G59)</f>
        <v/>
      </c>
      <c r="P59" s="25">
        <f>IF(O59&gt;=10,F59,E59)</f>
        <v/>
      </c>
      <c r="Q59" s="26">
        <f>N59*P59*$C$3</f>
        <v/>
      </c>
      <c r="R59" s="26">
        <f>O59*P59*$C$3</f>
        <v/>
      </c>
    </row>
    <row r="60">
      <c r="A60" s="22" t="n">
        <v>54</v>
      </c>
      <c r="B60" s="12" t="inlineStr">
        <is>
          <t>60.4R 0805</t>
        </is>
      </c>
      <c r="C60" s="12" t="inlineStr">
        <is>
          <t>R11, R12</t>
        </is>
      </c>
      <c r="D60" s="22" t="n">
        <v>2</v>
      </c>
      <c r="E60" s="23" t="n">
        <v>0.0109</v>
      </c>
      <c r="F60" s="23" t="n">
        <v>0.0109</v>
      </c>
      <c r="G60" s="24" t="n">
        <v>100</v>
      </c>
      <c r="H60" s="27" t="inlineStr">
        <is>
          <t>est</t>
        </is>
      </c>
      <c r="I60" s="12" t="inlineStr">
        <is>
          <t>unverified $0.0109</t>
        </is>
      </c>
      <c r="J60" s="22">
        <f>MAX(D60,G60)</f>
        <v/>
      </c>
      <c r="K60" s="25">
        <f>E60</f>
        <v/>
      </c>
      <c r="L60" s="26">
        <f>D60*K60*$C$3</f>
        <v/>
      </c>
      <c r="M60" s="26">
        <f>J60*K60*$C$3</f>
        <v/>
      </c>
      <c r="N60" s="22">
        <f>D60*5</f>
        <v/>
      </c>
      <c r="O60" s="22">
        <f>MAX(N60,G60)</f>
        <v/>
      </c>
      <c r="P60" s="25">
        <f>IF(O60&gt;=10,F60,E60)</f>
        <v/>
      </c>
      <c r="Q60" s="26">
        <f>N60*P60*$C$3</f>
        <v/>
      </c>
      <c r="R60" s="26">
        <f>O60*P60*$C$3</f>
        <v/>
      </c>
    </row>
    <row r="61">
      <c r="A61" s="22" t="n">
        <v>55</v>
      </c>
      <c r="B61" s="12" t="inlineStr">
        <is>
          <t>68R 1210</t>
        </is>
      </c>
      <c r="C61" s="12" t="inlineStr">
        <is>
          <t>R90</t>
        </is>
      </c>
      <c r="D61" s="22" t="n">
        <v>1</v>
      </c>
      <c r="E61" s="23" t="n">
        <v>0.01</v>
      </c>
      <c r="F61" s="23" t="n">
        <v>0.01</v>
      </c>
      <c r="G61" s="24" t="n">
        <v>100</v>
      </c>
      <c r="H61" s="27" t="inlineStr">
        <is>
          <t>est</t>
        </is>
      </c>
      <c r="I61" s="12" t="inlineStr">
        <is>
          <t>1210 resistor estimate</t>
        </is>
      </c>
      <c r="J61" s="22">
        <f>MAX(D61,G61)</f>
        <v/>
      </c>
      <c r="K61" s="25">
        <f>E61</f>
        <v/>
      </c>
      <c r="L61" s="26">
        <f>D61*K61*$C$3</f>
        <v/>
      </c>
      <c r="M61" s="26">
        <f>J61*K61*$C$3</f>
        <v/>
      </c>
      <c r="N61" s="22">
        <f>D61*5</f>
        <v/>
      </c>
      <c r="O61" s="22">
        <f>MAX(N61,G61)</f>
        <v/>
      </c>
      <c r="P61" s="25">
        <f>IF(O61&gt;=10,F61,E61)</f>
        <v/>
      </c>
      <c r="Q61" s="26">
        <f>N61*P61*$C$3</f>
        <v/>
      </c>
      <c r="R61" s="26">
        <f>O61*P61*$C$3</f>
        <v/>
      </c>
    </row>
    <row r="62">
      <c r="A62" s="22" t="n">
        <v>56</v>
      </c>
      <c r="B62" s="12" t="inlineStr">
        <is>
          <t>100R 0805</t>
        </is>
      </c>
      <c r="C62" s="12" t="inlineStr">
        <is>
          <t>R23, R24</t>
        </is>
      </c>
      <c r="D62" s="22" t="n">
        <v>2</v>
      </c>
      <c r="E62" s="23" t="n">
        <v>0.0025</v>
      </c>
      <c r="F62" s="23" t="n">
        <v>0.0025</v>
      </c>
      <c r="G62" s="24" t="n">
        <v>100</v>
      </c>
      <c r="H62" s="27" t="inlineStr">
        <is>
          <t>est</t>
        </is>
      </c>
      <c r="I62" s="12" t="inlineStr">
        <is>
          <t>as 0805 1% resistor C17414</t>
        </is>
      </c>
      <c r="J62" s="22">
        <f>MAX(D62,G62)</f>
        <v/>
      </c>
      <c r="K62" s="25">
        <f>E62</f>
        <v/>
      </c>
      <c r="L62" s="26">
        <f>D62*K62*$C$3</f>
        <v/>
      </c>
      <c r="M62" s="26">
        <f>J62*K62*$C$3</f>
        <v/>
      </c>
      <c r="N62" s="22">
        <f>D62*5</f>
        <v/>
      </c>
      <c r="O62" s="22">
        <f>MAX(N62,G62)</f>
        <v/>
      </c>
      <c r="P62" s="25">
        <f>IF(O62&gt;=10,F62,E62)</f>
        <v/>
      </c>
      <c r="Q62" s="26">
        <f>N62*P62*$C$3</f>
        <v/>
      </c>
      <c r="R62" s="26">
        <f>O62*P62*$C$3</f>
        <v/>
      </c>
    </row>
    <row r="63">
      <c r="A63" s="22" t="n">
        <v>57</v>
      </c>
      <c r="B63" s="12" t="inlineStr">
        <is>
          <t>536R 0805</t>
        </is>
      </c>
      <c r="C63" s="12" t="inlineStr">
        <is>
          <t>R86</t>
        </is>
      </c>
      <c r="D63" s="22" t="n">
        <v>1</v>
      </c>
      <c r="E63" s="23" t="n">
        <v>0.0025</v>
      </c>
      <c r="F63" s="23" t="n">
        <v>0.0025</v>
      </c>
      <c r="G63" s="24" t="n">
        <v>100</v>
      </c>
      <c r="H63" s="27" t="inlineStr">
        <is>
          <t>est</t>
        </is>
      </c>
      <c r="I63" s="12" t="inlineStr">
        <is>
          <t>as 0805 1% resistor C17414</t>
        </is>
      </c>
      <c r="J63" s="22">
        <f>MAX(D63,G63)</f>
        <v/>
      </c>
      <c r="K63" s="25">
        <f>E63</f>
        <v/>
      </c>
      <c r="L63" s="26">
        <f>D63*K63*$C$3</f>
        <v/>
      </c>
      <c r="M63" s="26">
        <f>J63*K63*$C$3</f>
        <v/>
      </c>
      <c r="N63" s="22">
        <f>D63*5</f>
        <v/>
      </c>
      <c r="O63" s="22">
        <f>MAX(N63,G63)</f>
        <v/>
      </c>
      <c r="P63" s="25">
        <f>IF(O63&gt;=10,F63,E63)</f>
        <v/>
      </c>
      <c r="Q63" s="26">
        <f>N63*P63*$C$3</f>
        <v/>
      </c>
      <c r="R63" s="26">
        <f>O63*P63*$C$3</f>
        <v/>
      </c>
    </row>
    <row r="64">
      <c r="A64" s="22" t="n">
        <v>58</v>
      </c>
      <c r="B64" s="12" t="inlineStr">
        <is>
          <t>976R 0805</t>
        </is>
      </c>
      <c r="C64" s="12" t="inlineStr">
        <is>
          <t>R85</t>
        </is>
      </c>
      <c r="D64" s="22" t="n">
        <v>1</v>
      </c>
      <c r="E64" s="23" t="n">
        <v>0.0025</v>
      </c>
      <c r="F64" s="23" t="n">
        <v>0.0025</v>
      </c>
      <c r="G64" s="24" t="n">
        <v>100</v>
      </c>
      <c r="H64" s="27" t="inlineStr">
        <is>
          <t>est</t>
        </is>
      </c>
      <c r="I64" s="12" t="inlineStr">
        <is>
          <t>as 0805 1% resistor C17414</t>
        </is>
      </c>
      <c r="J64" s="22">
        <f>MAX(D64,G64)</f>
        <v/>
      </c>
      <c r="K64" s="25">
        <f>E64</f>
        <v/>
      </c>
      <c r="L64" s="26">
        <f>D64*K64*$C$3</f>
        <v/>
      </c>
      <c r="M64" s="26">
        <f>J64*K64*$C$3</f>
        <v/>
      </c>
      <c r="N64" s="22">
        <f>D64*5</f>
        <v/>
      </c>
      <c r="O64" s="22">
        <f>MAX(N64,G64)</f>
        <v/>
      </c>
      <c r="P64" s="25">
        <f>IF(O64&gt;=10,F64,E64)</f>
        <v/>
      </c>
      <c r="Q64" s="26">
        <f>N64*P64*$C$3</f>
        <v/>
      </c>
      <c r="R64" s="26">
        <f>O64*P64*$C$3</f>
        <v/>
      </c>
    </row>
    <row r="65">
      <c r="A65" s="22" t="n">
        <v>59</v>
      </c>
      <c r="B65" s="12" t="inlineStr">
        <is>
          <t>1k 0805</t>
        </is>
      </c>
      <c r="C65" s="12" t="inlineStr">
        <is>
          <t>R4, R6, R65</t>
        </is>
      </c>
      <c r="D65" s="22" t="n">
        <v>3</v>
      </c>
      <c r="E65" s="23" t="n">
        <v>0.0025</v>
      </c>
      <c r="F65" s="23" t="n">
        <v>0.0025</v>
      </c>
      <c r="G65" s="24" t="n">
        <v>100</v>
      </c>
      <c r="H65" s="27" t="inlineStr">
        <is>
          <t>est</t>
        </is>
      </c>
      <c r="I65" s="12" t="inlineStr">
        <is>
          <t>as 0805 1% resistor C17414</t>
        </is>
      </c>
      <c r="J65" s="22">
        <f>MAX(D65,G65)</f>
        <v/>
      </c>
      <c r="K65" s="25">
        <f>E65</f>
        <v/>
      </c>
      <c r="L65" s="26">
        <f>D65*K65*$C$3</f>
        <v/>
      </c>
      <c r="M65" s="26">
        <f>J65*K65*$C$3</f>
        <v/>
      </c>
      <c r="N65" s="22">
        <f>D65*5</f>
        <v/>
      </c>
      <c r="O65" s="22">
        <f>MAX(N65,G65)</f>
        <v/>
      </c>
      <c r="P65" s="25">
        <f>IF(O65&gt;=10,F65,E65)</f>
        <v/>
      </c>
      <c r="Q65" s="26">
        <f>N65*P65*$C$3</f>
        <v/>
      </c>
      <c r="R65" s="26">
        <f>O65*P65*$C$3</f>
        <v/>
      </c>
    </row>
    <row r="66">
      <c r="A66" s="22" t="n">
        <v>60</v>
      </c>
      <c r="B66" s="12" t="inlineStr">
        <is>
          <t>1.5k 0805</t>
        </is>
      </c>
      <c r="C66" s="12" t="inlineStr">
        <is>
          <t>R84</t>
        </is>
      </c>
      <c r="D66" s="22" t="n">
        <v>1</v>
      </c>
      <c r="E66" s="23" t="n">
        <v>0.0025</v>
      </c>
      <c r="F66" s="23" t="n">
        <v>0.0025</v>
      </c>
      <c r="G66" s="24" t="n">
        <v>100</v>
      </c>
      <c r="H66" s="27" t="inlineStr">
        <is>
          <t>est</t>
        </is>
      </c>
      <c r="I66" s="12" t="inlineStr">
        <is>
          <t>as 0805 1% resistor C17414</t>
        </is>
      </c>
      <c r="J66" s="22">
        <f>MAX(D66,G66)</f>
        <v/>
      </c>
      <c r="K66" s="25">
        <f>E66</f>
        <v/>
      </c>
      <c r="L66" s="26">
        <f>D66*K66*$C$3</f>
        <v/>
      </c>
      <c r="M66" s="26">
        <f>J66*K66*$C$3</f>
        <v/>
      </c>
      <c r="N66" s="22">
        <f>D66*5</f>
        <v/>
      </c>
      <c r="O66" s="22">
        <f>MAX(N66,G66)</f>
        <v/>
      </c>
      <c r="P66" s="25">
        <f>IF(O66&gt;=10,F66,E66)</f>
        <v/>
      </c>
      <c r="Q66" s="26">
        <f>N66*P66*$C$3</f>
        <v/>
      </c>
      <c r="R66" s="26">
        <f>O66*P66*$C$3</f>
        <v/>
      </c>
    </row>
    <row r="67">
      <c r="A67" s="22" t="n">
        <v>61</v>
      </c>
      <c r="B67" s="12" t="inlineStr">
        <is>
          <t>2.2k 0805</t>
        </is>
      </c>
      <c r="C67" s="12" t="inlineStr">
        <is>
          <t>R7, R8, R45, R49</t>
        </is>
      </c>
      <c r="D67" s="22" t="n">
        <v>4</v>
      </c>
      <c r="E67" s="23" t="n">
        <v>0.0025</v>
      </c>
      <c r="F67" s="23" t="n">
        <v>0.0025</v>
      </c>
      <c r="G67" s="24" t="n">
        <v>100</v>
      </c>
      <c r="H67" s="27" t="inlineStr">
        <is>
          <t>est</t>
        </is>
      </c>
      <c r="I67" s="12" t="inlineStr">
        <is>
          <t>as 0805 1% resistor C17414</t>
        </is>
      </c>
      <c r="J67" s="22">
        <f>MAX(D67,G67)</f>
        <v/>
      </c>
      <c r="K67" s="25">
        <f>E67</f>
        <v/>
      </c>
      <c r="L67" s="26">
        <f>D67*K67*$C$3</f>
        <v/>
      </c>
      <c r="M67" s="26">
        <f>J67*K67*$C$3</f>
        <v/>
      </c>
      <c r="N67" s="22">
        <f>D67*5</f>
        <v/>
      </c>
      <c r="O67" s="22">
        <f>MAX(N67,G67)</f>
        <v/>
      </c>
      <c r="P67" s="25">
        <f>IF(O67&gt;=10,F67,E67)</f>
        <v/>
      </c>
      <c r="Q67" s="26">
        <f>N67*P67*$C$3</f>
        <v/>
      </c>
      <c r="R67" s="26">
        <f>O67*P67*$C$3</f>
        <v/>
      </c>
    </row>
    <row r="68">
      <c r="A68" s="22" t="n">
        <v>62</v>
      </c>
      <c r="B68" s="12" t="inlineStr">
        <is>
          <t>4.3k 0805</t>
        </is>
      </c>
      <c r="C68" s="12" t="inlineStr">
        <is>
          <t>R83</t>
        </is>
      </c>
      <c r="D68" s="22" t="n">
        <v>1</v>
      </c>
      <c r="E68" s="23" t="n">
        <v>0.0025</v>
      </c>
      <c r="F68" s="23" t="n">
        <v>0.0025</v>
      </c>
      <c r="G68" s="24" t="n">
        <v>100</v>
      </c>
      <c r="H68" s="27" t="inlineStr">
        <is>
          <t>est</t>
        </is>
      </c>
      <c r="I68" s="12" t="inlineStr">
        <is>
          <t>as 0805 1% resistor C17414</t>
        </is>
      </c>
      <c r="J68" s="22">
        <f>MAX(D68,G68)</f>
        <v/>
      </c>
      <c r="K68" s="25">
        <f>E68</f>
        <v/>
      </c>
      <c r="L68" s="26">
        <f>D68*K68*$C$3</f>
        <v/>
      </c>
      <c r="M68" s="26">
        <f>J68*K68*$C$3</f>
        <v/>
      </c>
      <c r="N68" s="22">
        <f>D68*5</f>
        <v/>
      </c>
      <c r="O68" s="22">
        <f>MAX(N68,G68)</f>
        <v/>
      </c>
      <c r="P68" s="25">
        <f>IF(O68&gt;=10,F68,E68)</f>
        <v/>
      </c>
      <c r="Q68" s="26">
        <f>N68*P68*$C$3</f>
        <v/>
      </c>
      <c r="R68" s="26">
        <f>O68*P68*$C$3</f>
        <v/>
      </c>
    </row>
    <row r="69">
      <c r="A69" s="22" t="n">
        <v>63</v>
      </c>
      <c r="B69" s="12" t="inlineStr">
        <is>
          <t>4.7k 0805</t>
        </is>
      </c>
      <c r="C69" s="12" t="inlineStr">
        <is>
          <t>R5, R42, R46, R53, R55, R57, R59, R64</t>
        </is>
      </c>
      <c r="D69" s="22" t="n">
        <v>8</v>
      </c>
      <c r="E69" s="23" t="n">
        <v>0.0025</v>
      </c>
      <c r="F69" s="23" t="n">
        <v>0.0025</v>
      </c>
      <c r="G69" s="24" t="n">
        <v>100</v>
      </c>
      <c r="H69" s="27" t="inlineStr">
        <is>
          <t>est</t>
        </is>
      </c>
      <c r="I69" s="12" t="inlineStr">
        <is>
          <t>as 0805 1% resistor C17414</t>
        </is>
      </c>
      <c r="J69" s="22">
        <f>MAX(D69,G69)</f>
        <v/>
      </c>
      <c r="K69" s="25">
        <f>E69</f>
        <v/>
      </c>
      <c r="L69" s="26">
        <f>D69*K69*$C$3</f>
        <v/>
      </c>
      <c r="M69" s="26">
        <f>J69*K69*$C$3</f>
        <v/>
      </c>
      <c r="N69" s="22">
        <f>D69*5</f>
        <v/>
      </c>
      <c r="O69" s="22">
        <f>MAX(N69,G69)</f>
        <v/>
      </c>
      <c r="P69" s="25">
        <f>IF(O69&gt;=10,F69,E69)</f>
        <v/>
      </c>
      <c r="Q69" s="26">
        <f>N69*P69*$C$3</f>
        <v/>
      </c>
      <c r="R69" s="26">
        <f>O69*P69*$C$3</f>
        <v/>
      </c>
    </row>
    <row r="70">
      <c r="A70" s="22" t="n">
        <v>64</v>
      </c>
      <c r="B70" s="12" t="inlineStr">
        <is>
          <t>5.23k 0805</t>
        </is>
      </c>
      <c r="C70" s="12" t="inlineStr">
        <is>
          <t>R88</t>
        </is>
      </c>
      <c r="D70" s="22" t="n">
        <v>1</v>
      </c>
      <c r="E70" s="23" t="n">
        <v>0.0025</v>
      </c>
      <c r="F70" s="23" t="n">
        <v>0.0025</v>
      </c>
      <c r="G70" s="24" t="n">
        <v>100</v>
      </c>
      <c r="H70" s="27" t="inlineStr">
        <is>
          <t>est</t>
        </is>
      </c>
      <c r="I70" s="12" t="inlineStr">
        <is>
          <t>as 0805 1% resistor C17414</t>
        </is>
      </c>
      <c r="J70" s="22">
        <f>MAX(D70,G70)</f>
        <v/>
      </c>
      <c r="K70" s="25">
        <f>E70</f>
        <v/>
      </c>
      <c r="L70" s="26">
        <f>D70*K70*$C$3</f>
        <v/>
      </c>
      <c r="M70" s="26">
        <f>J70*K70*$C$3</f>
        <v/>
      </c>
      <c r="N70" s="22">
        <f>D70*5</f>
        <v/>
      </c>
      <c r="O70" s="22">
        <f>MAX(N70,G70)</f>
        <v/>
      </c>
      <c r="P70" s="25">
        <f>IF(O70&gt;=10,F70,E70)</f>
        <v/>
      </c>
      <c r="Q70" s="26">
        <f>N70*P70*$C$3</f>
        <v/>
      </c>
      <c r="R70" s="26">
        <f>O70*P70*$C$3</f>
        <v/>
      </c>
    </row>
    <row r="71">
      <c r="A71" s="22" t="n">
        <v>65</v>
      </c>
      <c r="B71" s="12" t="inlineStr">
        <is>
          <t>9.1k 0805</t>
        </is>
      </c>
      <c r="C71" s="12" t="inlineStr">
        <is>
          <t>R36, R37</t>
        </is>
      </c>
      <c r="D71" s="22" t="n">
        <v>2</v>
      </c>
      <c r="E71" s="23" t="n">
        <v>0.0025</v>
      </c>
      <c r="F71" s="23" t="n">
        <v>0.0025</v>
      </c>
      <c r="G71" s="24" t="n">
        <v>100</v>
      </c>
      <c r="H71" s="27" t="inlineStr">
        <is>
          <t>est</t>
        </is>
      </c>
      <c r="I71" s="12" t="inlineStr">
        <is>
          <t>as 0805 1% resistor C17414</t>
        </is>
      </c>
      <c r="J71" s="22">
        <f>MAX(D71,G71)</f>
        <v/>
      </c>
      <c r="K71" s="25">
        <f>E71</f>
        <v/>
      </c>
      <c r="L71" s="26">
        <f>D71*K71*$C$3</f>
        <v/>
      </c>
      <c r="M71" s="26">
        <f>J71*K71*$C$3</f>
        <v/>
      </c>
      <c r="N71" s="22">
        <f>D71*5</f>
        <v/>
      </c>
      <c r="O71" s="22">
        <f>MAX(N71,G71)</f>
        <v/>
      </c>
      <c r="P71" s="25">
        <f>IF(O71&gt;=10,F71,E71)</f>
        <v/>
      </c>
      <c r="Q71" s="26">
        <f>N71*P71*$C$3</f>
        <v/>
      </c>
      <c r="R71" s="26">
        <f>O71*P71*$C$3</f>
        <v/>
      </c>
    </row>
    <row r="72">
      <c r="A72" s="22" t="n">
        <v>66</v>
      </c>
      <c r="B72" s="12" t="inlineStr">
        <is>
          <t>10k 0805</t>
        </is>
      </c>
      <c r="C72" s="12" t="inlineStr">
        <is>
          <t>R1, R2, R25, R26, R43, R44, R47, R48, R51, R62, R87</t>
        </is>
      </c>
      <c r="D72" s="22" t="n">
        <v>11</v>
      </c>
      <c r="E72" s="23" t="n">
        <v>0.0025</v>
      </c>
      <c r="F72" s="23" t="n">
        <v>0.0025</v>
      </c>
      <c r="G72" s="24" t="n">
        <v>100</v>
      </c>
      <c r="H72" s="22" t="inlineStr">
        <is>
          <t>live</t>
        </is>
      </c>
      <c r="I72" s="12" t="inlineStr">
        <is>
          <t>LCSC 100+</t>
        </is>
      </c>
      <c r="J72" s="22">
        <f>MAX(D72,G72)</f>
        <v/>
      </c>
      <c r="K72" s="25">
        <f>E72</f>
        <v/>
      </c>
      <c r="L72" s="26">
        <f>D72*K72*$C$3</f>
        <v/>
      </c>
      <c r="M72" s="26">
        <f>J72*K72*$C$3</f>
        <v/>
      </c>
      <c r="N72" s="22">
        <f>D72*5</f>
        <v/>
      </c>
      <c r="O72" s="22">
        <f>MAX(N72,G72)</f>
        <v/>
      </c>
      <c r="P72" s="25">
        <f>IF(O72&gt;=10,F72,E72)</f>
        <v/>
      </c>
      <c r="Q72" s="26">
        <f>N72*P72*$C$3</f>
        <v/>
      </c>
      <c r="R72" s="26">
        <f>O72*P72*$C$3</f>
        <v/>
      </c>
    </row>
    <row r="73">
      <c r="A73" s="22" t="n">
        <v>67</v>
      </c>
      <c r="B73" s="12" t="inlineStr">
        <is>
          <t>12k 1206</t>
        </is>
      </c>
      <c r="C73" s="12" t="inlineStr">
        <is>
          <t>R14, R15, R16, R17, R18, R19</t>
        </is>
      </c>
      <c r="D73" s="22" t="n">
        <v>6</v>
      </c>
      <c r="E73" s="23" t="n">
        <v>0.0046</v>
      </c>
      <c r="F73" s="23" t="n">
        <v>0.0046</v>
      </c>
      <c r="G73" s="24" t="n">
        <v>100</v>
      </c>
      <c r="H73" s="27" t="inlineStr">
        <is>
          <t>est</t>
        </is>
      </c>
      <c r="I73" s="12" t="inlineStr">
        <is>
          <t>unverified $0.0046</t>
        </is>
      </c>
      <c r="J73" s="22">
        <f>MAX(D73,G73)</f>
        <v/>
      </c>
      <c r="K73" s="25">
        <f>E73</f>
        <v/>
      </c>
      <c r="L73" s="26">
        <f>D73*K73*$C$3</f>
        <v/>
      </c>
      <c r="M73" s="26">
        <f>J73*K73*$C$3</f>
        <v/>
      </c>
      <c r="N73" s="22">
        <f>D73*5</f>
        <v/>
      </c>
      <c r="O73" s="22">
        <f>MAX(N73,G73)</f>
        <v/>
      </c>
      <c r="P73" s="25">
        <f>IF(O73&gt;=10,F73,E73)</f>
        <v/>
      </c>
      <c r="Q73" s="26">
        <f>N73*P73*$C$3</f>
        <v/>
      </c>
      <c r="R73" s="26">
        <f>O73*P73*$C$3</f>
        <v/>
      </c>
    </row>
    <row r="74">
      <c r="A74" s="22" t="n">
        <v>68</v>
      </c>
      <c r="B74" s="12" t="inlineStr">
        <is>
          <t>30.1k 0805</t>
        </is>
      </c>
      <c r="C74" s="12" t="inlineStr">
        <is>
          <t>R89</t>
        </is>
      </c>
      <c r="D74" s="22" t="n">
        <v>1</v>
      </c>
      <c r="E74" s="23" t="n">
        <v>0.0025</v>
      </c>
      <c r="F74" s="23" t="n">
        <v>0.0025</v>
      </c>
      <c r="G74" s="24" t="n">
        <v>100</v>
      </c>
      <c r="H74" s="27" t="inlineStr">
        <is>
          <t>est</t>
        </is>
      </c>
      <c r="I74" s="12" t="inlineStr">
        <is>
          <t>as 0805 1% resistor C17414</t>
        </is>
      </c>
      <c r="J74" s="22">
        <f>MAX(D74,G74)</f>
        <v/>
      </c>
      <c r="K74" s="25">
        <f>E74</f>
        <v/>
      </c>
      <c r="L74" s="26">
        <f>D74*K74*$C$3</f>
        <v/>
      </c>
      <c r="M74" s="26">
        <f>J74*K74*$C$3</f>
        <v/>
      </c>
      <c r="N74" s="22">
        <f>D74*5</f>
        <v/>
      </c>
      <c r="O74" s="22">
        <f>MAX(N74,G74)</f>
        <v/>
      </c>
      <c r="P74" s="25">
        <f>IF(O74&gt;=10,F74,E74)</f>
        <v/>
      </c>
      <c r="Q74" s="26">
        <f>N74*P74*$C$3</f>
        <v/>
      </c>
      <c r="R74" s="26">
        <f>O74*P74*$C$3</f>
        <v/>
      </c>
    </row>
    <row r="75">
      <c r="A75" s="22" t="n">
        <v>69</v>
      </c>
      <c r="B75" s="12" t="inlineStr">
        <is>
          <t>47k 0805</t>
        </is>
      </c>
      <c r="C75" s="12" t="inlineStr">
        <is>
          <t>R21, R22, R52, R54, R56, R58, R60, R61, R63</t>
        </is>
      </c>
      <c r="D75" s="22" t="n">
        <v>9</v>
      </c>
      <c r="E75" s="23" t="n">
        <v>0.0025</v>
      </c>
      <c r="F75" s="23" t="n">
        <v>0.0025</v>
      </c>
      <c r="G75" s="24" t="n">
        <v>100</v>
      </c>
      <c r="H75" s="27" t="inlineStr">
        <is>
          <t>est</t>
        </is>
      </c>
      <c r="I75" s="12" t="inlineStr">
        <is>
          <t>as 0805 1% resistor C17414</t>
        </is>
      </c>
      <c r="J75" s="22">
        <f>MAX(D75,G75)</f>
        <v/>
      </c>
      <c r="K75" s="25">
        <f>E75</f>
        <v/>
      </c>
      <c r="L75" s="26">
        <f>D75*K75*$C$3</f>
        <v/>
      </c>
      <c r="M75" s="26">
        <f>J75*K75*$C$3</f>
        <v/>
      </c>
      <c r="N75" s="22">
        <f>D75*5</f>
        <v/>
      </c>
      <c r="O75" s="22">
        <f>MAX(N75,G75)</f>
        <v/>
      </c>
      <c r="P75" s="25">
        <f>IF(O75&gt;=10,F75,E75)</f>
        <v/>
      </c>
      <c r="Q75" s="26">
        <f>N75*P75*$C$3</f>
        <v/>
      </c>
      <c r="R75" s="26">
        <f>O75*P75*$C$3</f>
        <v/>
      </c>
    </row>
    <row r="76">
      <c r="A76" s="22" t="n">
        <v>70</v>
      </c>
      <c r="B76" s="12" t="inlineStr">
        <is>
          <t>100k 0805</t>
        </is>
      </c>
      <c r="C76" s="12" t="inlineStr">
        <is>
          <t>R30, R31, R32, R33, R34, R35, R50, R81</t>
        </is>
      </c>
      <c r="D76" s="22" t="n">
        <v>8</v>
      </c>
      <c r="E76" s="23" t="n">
        <v>0.0025</v>
      </c>
      <c r="F76" s="23" t="n">
        <v>0.0025</v>
      </c>
      <c r="G76" s="24" t="n">
        <v>100</v>
      </c>
      <c r="H76" s="27" t="inlineStr">
        <is>
          <t>est</t>
        </is>
      </c>
      <c r="I76" s="12" t="inlineStr">
        <is>
          <t>as 0805 1% resistor C17414</t>
        </is>
      </c>
      <c r="J76" s="22">
        <f>MAX(D76,G76)</f>
        <v/>
      </c>
      <c r="K76" s="25">
        <f>E76</f>
        <v/>
      </c>
      <c r="L76" s="26">
        <f>D76*K76*$C$3</f>
        <v/>
      </c>
      <c r="M76" s="26">
        <f>J76*K76*$C$3</f>
        <v/>
      </c>
      <c r="N76" s="22">
        <f>D76*5</f>
        <v/>
      </c>
      <c r="O76" s="22">
        <f>MAX(N76,G76)</f>
        <v/>
      </c>
      <c r="P76" s="25">
        <f>IF(O76&gt;=10,F76,E76)</f>
        <v/>
      </c>
      <c r="Q76" s="26">
        <f>N76*P76*$C$3</f>
        <v/>
      </c>
      <c r="R76" s="26">
        <f>O76*P76*$C$3</f>
        <v/>
      </c>
    </row>
    <row r="77">
      <c r="A77" s="22" t="n">
        <v>71</v>
      </c>
      <c r="B77" s="12" t="inlineStr">
        <is>
          <t>1M 0805</t>
        </is>
      </c>
      <c r="C77" s="12" t="inlineStr">
        <is>
          <t>R38, R39</t>
        </is>
      </c>
      <c r="D77" s="22" t="n">
        <v>2</v>
      </c>
      <c r="E77" s="23" t="n">
        <v>0.0025</v>
      </c>
      <c r="F77" s="23" t="n">
        <v>0.0025</v>
      </c>
      <c r="G77" s="24" t="n">
        <v>100</v>
      </c>
      <c r="H77" s="27" t="inlineStr">
        <is>
          <t>est</t>
        </is>
      </c>
      <c r="I77" s="12" t="inlineStr">
        <is>
          <t>as 0805 1% resistor C17414</t>
        </is>
      </c>
      <c r="J77" s="22">
        <f>MAX(D77,G77)</f>
        <v/>
      </c>
      <c r="K77" s="25">
        <f>E77</f>
        <v/>
      </c>
      <c r="L77" s="26">
        <f>D77*K77*$C$3</f>
        <v/>
      </c>
      <c r="M77" s="26">
        <f>J77*K77*$C$3</f>
        <v/>
      </c>
      <c r="N77" s="22">
        <f>D77*5</f>
        <v/>
      </c>
      <c r="O77" s="22">
        <f>MAX(N77,G77)</f>
        <v/>
      </c>
      <c r="P77" s="25">
        <f>IF(O77&gt;=10,F77,E77)</f>
        <v/>
      </c>
      <c r="Q77" s="26">
        <f>N77*P77*$C$3</f>
        <v/>
      </c>
      <c r="R77" s="26">
        <f>O77*P77*$C$3</f>
        <v/>
      </c>
    </row>
    <row r="78">
      <c r="A78" s="22" t="n">
        <v>72</v>
      </c>
      <c r="B78" s="12" t="inlineStr">
        <is>
          <t>GNSS antenna</t>
        </is>
      </c>
      <c r="C78" s="12" t="inlineStr">
        <is>
          <t>ANT (GNSS)</t>
        </is>
      </c>
      <c r="D78" s="22" t="n">
        <v>1</v>
      </c>
      <c r="E78" s="23" t="n">
        <v>2.06</v>
      </c>
      <c r="F78" s="23" t="n">
        <v>2.06</v>
      </c>
      <c r="G78" s="24" t="n">
        <v>1</v>
      </c>
      <c r="H78" s="27" t="inlineStr">
        <is>
          <t>est</t>
        </is>
      </c>
      <c r="I78" s="12" t="inlineStr">
        <is>
          <t>unverified JLC ~$2.06</t>
        </is>
      </c>
      <c r="J78" s="22">
        <f>MAX(D78,G78)</f>
        <v/>
      </c>
      <c r="K78" s="25">
        <f>E78</f>
        <v/>
      </c>
      <c r="L78" s="26">
        <f>D78*K78*$C$3</f>
        <v/>
      </c>
      <c r="M78" s="26">
        <f>J78*K78*$C$3</f>
        <v/>
      </c>
      <c r="N78" s="22">
        <f>D78*5</f>
        <v/>
      </c>
      <c r="O78" s="22">
        <f>MAX(N78,G78)</f>
        <v/>
      </c>
      <c r="P78" s="25">
        <f>IF(O78&gt;=10,F78,E78)</f>
        <v/>
      </c>
      <c r="Q78" s="26">
        <f>N78*P78*$C$3</f>
        <v/>
      </c>
      <c r="R78" s="26">
        <f>O78*P78*$C$3</f>
        <v/>
      </c>
    </row>
    <row r="79">
      <c r="A79" s="22" t="n">
        <v>73</v>
      </c>
      <c r="B79" s="12" t="inlineStr">
        <is>
          <t>LTE antenna</t>
        </is>
      </c>
      <c r="C79" s="12" t="inlineStr">
        <is>
          <t>ANT (LTE)</t>
        </is>
      </c>
      <c r="D79" s="22" t="n">
        <v>1</v>
      </c>
      <c r="E79" s="23" t="n">
        <v>0.6006</v>
      </c>
      <c r="F79" s="23" t="n">
        <v>0.4959</v>
      </c>
      <c r="G79" s="24" t="n">
        <v>1</v>
      </c>
      <c r="H79" s="22" t="inlineStr">
        <is>
          <t>live</t>
        </is>
      </c>
      <c r="I79" s="12" t="inlineStr">
        <is>
          <t>JLC 1+</t>
        </is>
      </c>
      <c r="J79" s="22">
        <f>MAX(D79,G79)</f>
        <v/>
      </c>
      <c r="K79" s="25">
        <f>E79</f>
        <v/>
      </c>
      <c r="L79" s="26">
        <f>D79*K79*$C$3</f>
        <v/>
      </c>
      <c r="M79" s="26">
        <f>J79*K79*$C$3</f>
        <v/>
      </c>
      <c r="N79" s="22">
        <f>D79*5</f>
        <v/>
      </c>
      <c r="O79" s="22">
        <f>MAX(N79,G79)</f>
        <v/>
      </c>
      <c r="P79" s="25">
        <f>IF(O79&gt;=10,F79,E79)</f>
        <v/>
      </c>
      <c r="Q79" s="26">
        <f>N79*P79*$C$3</f>
        <v/>
      </c>
      <c r="R79" s="26">
        <f>O79*P79*$C$3</f>
        <v/>
      </c>
    </row>
    <row r="80">
      <c r="A80" s="22" t="n">
        <v>74</v>
      </c>
      <c r="B80" s="12" t="inlineStr">
        <is>
          <t>Battery</t>
        </is>
      </c>
      <c r="C80" s="12" t="inlineStr">
        <is>
          <t>BT1</t>
        </is>
      </c>
      <c r="D80" s="22" t="n">
        <v>1</v>
      </c>
      <c r="E80" s="23" t="n">
        <v>3.5312</v>
      </c>
      <c r="F80" s="23" t="n">
        <v>3.5312</v>
      </c>
      <c r="G80" s="24" t="n">
        <v>1</v>
      </c>
      <c r="H80" s="22" t="inlineStr">
        <is>
          <t>live</t>
        </is>
      </c>
      <c r="I80" s="12" t="inlineStr">
        <is>
          <t>probots.co.in Rs 339 incl GST, no NTC/JST</t>
        </is>
      </c>
      <c r="J80" s="22">
        <f>MAX(D80,G80)</f>
        <v/>
      </c>
      <c r="K80" s="25">
        <f>E80</f>
        <v/>
      </c>
      <c r="L80" s="26">
        <f>D80*K80*$C$3</f>
        <v/>
      </c>
      <c r="M80" s="26">
        <f>J80*K80*$C$3</f>
        <v/>
      </c>
      <c r="N80" s="22">
        <f>D80*5</f>
        <v/>
      </c>
      <c r="O80" s="22">
        <f>MAX(N80,G80)</f>
        <v/>
      </c>
      <c r="P80" s="25">
        <f>IF(O80&gt;=10,F80,E80)</f>
        <v/>
      </c>
      <c r="Q80" s="26">
        <f>N80*P80*$C$3</f>
        <v/>
      </c>
      <c r="R80" s="26">
        <f>O80*P80*$C$3</f>
        <v/>
      </c>
    </row>
    <row r="82">
      <c r="B82" s="28" t="inlineStr">
        <is>
          <t>TOTAL</t>
        </is>
      </c>
      <c r="L82" s="29">
        <f>SUM(L7:L80)</f>
        <v/>
      </c>
      <c r="M82" s="29">
        <f>SUM(M7:M80)</f>
        <v/>
      </c>
      <c r="Q82" s="29">
        <f>SUM(Q7:Q80)</f>
        <v/>
      </c>
      <c r="R82" s="29">
        <f>SUM(R7:R80)</f>
        <v/>
      </c>
    </row>
    <row r="83">
      <c r="B83" s="4" t="inlineStr">
        <is>
          <t>Per board</t>
        </is>
      </c>
      <c r="L83" s="30">
        <f>L82/1</f>
        <v/>
      </c>
      <c r="M83" s="30">
        <f>M82/1</f>
        <v/>
      </c>
      <c r="Q83" s="30">
        <f>Q82/5</f>
        <v/>
      </c>
      <c r="R83" s="30">
        <f>R82/5</f>
        <v/>
      </c>
    </row>
    <row r="84">
      <c r="B84" s="7" t="inlineStr">
        <is>
          <t>Lines that are estimates or from another source</t>
        </is>
      </c>
      <c r="D84" s="7">
        <f>COUNTIF(H7:H80,"&lt;&gt;live")</f>
        <v/>
      </c>
    </row>
    <row r="85">
      <c r="B85" s="7" t="inlineStr">
        <is>
          <t>Value of estimated lines, 1 board ₹</t>
        </is>
      </c>
      <c r="L85" s="31">
        <f>SUMIF(H7:H80,"est",L7:L80)</f>
        <v/>
      </c>
    </row>
    <row r="86">
      <c r="A86" s="3" t="inlineStr">
        <is>
          <t>Price status: live = LCSC/JLCPCB ladder found · alt = other distributor (DigiKey) or a sibling LCSC number · est = no price found, estimate (orange). Not included: PCB, assembly, enclosure, harness, shipping, customs duty, GST on LCSC imports.</t>
        </is>
      </c>
    </row>
    <row r="88">
      <c r="A88" s="28" t="inlineStr">
        <is>
          <t>Most expensive parts (per board, 1-board price)</t>
        </is>
      </c>
    </row>
    <row r="89">
      <c r="A89" s="32" t="inlineStr">
        <is>
          <t>Rank</t>
        </is>
      </c>
      <c r="B89" s="32" t="inlineStr">
        <is>
          <t>Part</t>
        </is>
      </c>
      <c r="C89" s="32" t="inlineStr">
        <is>
          <t>Refs</t>
        </is>
      </c>
      <c r="D89" s="32" t="inlineStr">
        <is>
          <t>Qty</t>
        </is>
      </c>
      <c r="E89" s="32" t="inlineStr">
        <is>
          <t>Unit $</t>
        </is>
      </c>
      <c r="F89" s="32" t="inlineStr">
        <is>
          <t>Cost / board ₹</t>
        </is>
      </c>
      <c r="G89" s="32" t="inlineStr">
        <is>
          <t>% of board</t>
        </is>
      </c>
    </row>
    <row r="90">
      <c r="A90" s="33" t="n">
        <v>1</v>
      </c>
      <c r="B90" s="33">
        <f>B7</f>
        <v/>
      </c>
      <c r="C90" s="33">
        <f>C7</f>
        <v/>
      </c>
      <c r="D90" s="33">
        <f>D7</f>
        <v/>
      </c>
      <c r="E90" s="34">
        <f>E7</f>
        <v/>
      </c>
      <c r="F90" s="35">
        <f>L7</f>
        <v/>
      </c>
      <c r="G90" s="36">
        <f>L7/$L$82</f>
        <v/>
      </c>
    </row>
    <row r="91">
      <c r="A91" s="33" t="n">
        <v>2</v>
      </c>
      <c r="B91" s="33">
        <f>B80</f>
        <v/>
      </c>
      <c r="C91" s="33">
        <f>C80</f>
        <v/>
      </c>
      <c r="D91" s="33">
        <f>D80</f>
        <v/>
      </c>
      <c r="E91" s="34">
        <f>E80</f>
        <v/>
      </c>
      <c r="F91" s="35">
        <f>L80</f>
        <v/>
      </c>
      <c r="G91" s="36">
        <f>L80/$L$82</f>
        <v/>
      </c>
    </row>
    <row r="92">
      <c r="A92" s="33" t="n">
        <v>3</v>
      </c>
      <c r="B92" s="33">
        <f>B30</f>
        <v/>
      </c>
      <c r="C92" s="33">
        <f>C30</f>
        <v/>
      </c>
      <c r="D92" s="33">
        <f>D30</f>
        <v/>
      </c>
      <c r="E92" s="34">
        <f>E30</f>
        <v/>
      </c>
      <c r="F92" s="35">
        <f>L30</f>
        <v/>
      </c>
      <c r="G92" s="36">
        <f>L30/$L$82</f>
        <v/>
      </c>
    </row>
    <row r="93">
      <c r="A93" s="33" t="n">
        <v>4</v>
      </c>
      <c r="B93" s="33">
        <f>B8</f>
        <v/>
      </c>
      <c r="C93" s="33">
        <f>C8</f>
        <v/>
      </c>
      <c r="D93" s="33">
        <f>D8</f>
        <v/>
      </c>
      <c r="E93" s="34">
        <f>E8</f>
        <v/>
      </c>
      <c r="F93" s="35">
        <f>L8</f>
        <v/>
      </c>
      <c r="G93" s="36">
        <f>L8/$L$82</f>
        <v/>
      </c>
    </row>
    <row r="94">
      <c r="A94" s="33" t="n">
        <v>5</v>
      </c>
      <c r="B94" s="33">
        <f>B78</f>
        <v/>
      </c>
      <c r="C94" s="33">
        <f>C78</f>
        <v/>
      </c>
      <c r="D94" s="33">
        <f>D78</f>
        <v/>
      </c>
      <c r="E94" s="34">
        <f>E78</f>
        <v/>
      </c>
      <c r="F94" s="35">
        <f>L78</f>
        <v/>
      </c>
      <c r="G94" s="36">
        <f>L78/$L$82</f>
        <v/>
      </c>
    </row>
    <row r="95">
      <c r="A95" s="33" t="n">
        <v>6</v>
      </c>
      <c r="B95" s="33">
        <f>B55</f>
        <v/>
      </c>
      <c r="C95" s="33">
        <f>C55</f>
        <v/>
      </c>
      <c r="D95" s="33">
        <f>D55</f>
        <v/>
      </c>
      <c r="E95" s="34">
        <f>E55</f>
        <v/>
      </c>
      <c r="F95" s="35">
        <f>L55</f>
        <v/>
      </c>
      <c r="G95" s="36">
        <f>L55/$L$82</f>
        <v/>
      </c>
    </row>
    <row r="96">
      <c r="A96" s="33" t="n">
        <v>7</v>
      </c>
      <c r="B96" s="33">
        <f>B12</f>
        <v/>
      </c>
      <c r="C96" s="33">
        <f>C12</f>
        <v/>
      </c>
      <c r="D96" s="33">
        <f>D12</f>
        <v/>
      </c>
      <c r="E96" s="34">
        <f>E12</f>
        <v/>
      </c>
      <c r="F96" s="35">
        <f>L12</f>
        <v/>
      </c>
      <c r="G96" s="36">
        <f>L12/$L$82</f>
        <v/>
      </c>
    </row>
    <row r="97">
      <c r="A97" s="33" t="n">
        <v>8</v>
      </c>
      <c r="B97" s="33">
        <f>B9</f>
        <v/>
      </c>
      <c r="C97" s="33">
        <f>C9</f>
        <v/>
      </c>
      <c r="D97" s="33">
        <f>D9</f>
        <v/>
      </c>
      <c r="E97" s="34">
        <f>E9</f>
        <v/>
      </c>
      <c r="F97" s="35">
        <f>L9</f>
        <v/>
      </c>
      <c r="G97" s="36">
        <f>L9/$L$82</f>
        <v/>
      </c>
    </row>
    <row r="98">
      <c r="A98" s="33" t="n">
        <v>9</v>
      </c>
      <c r="B98" s="33">
        <f>B21</f>
        <v/>
      </c>
      <c r="C98" s="33">
        <f>C21</f>
        <v/>
      </c>
      <c r="D98" s="33">
        <f>D21</f>
        <v/>
      </c>
      <c r="E98" s="34">
        <f>E21</f>
        <v/>
      </c>
      <c r="F98" s="35">
        <f>L21</f>
        <v/>
      </c>
      <c r="G98" s="36">
        <f>L21/$L$82</f>
        <v/>
      </c>
    </row>
    <row r="99">
      <c r="A99" s="33" t="n">
        <v>10</v>
      </c>
      <c r="B99" s="33">
        <f>B13</f>
        <v/>
      </c>
      <c r="C99" s="33">
        <f>C13</f>
        <v/>
      </c>
      <c r="D99" s="33">
        <f>D13</f>
        <v/>
      </c>
      <c r="E99" s="34">
        <f>E13</f>
        <v/>
      </c>
      <c r="F99" s="35">
        <f>L13</f>
        <v/>
      </c>
      <c r="G99" s="36">
        <f>L13/$L$82</f>
        <v/>
      </c>
    </row>
    <row r="100">
      <c r="A100" s="33" t="n">
        <v>11</v>
      </c>
      <c r="B100" s="33">
        <f>B28</f>
        <v/>
      </c>
      <c r="C100" s="33">
        <f>C28</f>
        <v/>
      </c>
      <c r="D100" s="33">
        <f>D28</f>
        <v/>
      </c>
      <c r="E100" s="34">
        <f>E28</f>
        <v/>
      </c>
      <c r="F100" s="35">
        <f>L28</f>
        <v/>
      </c>
      <c r="G100" s="36">
        <f>L28/$L$82</f>
        <v/>
      </c>
    </row>
    <row r="101">
      <c r="A101" s="33" t="n">
        <v>12</v>
      </c>
      <c r="B101" s="33">
        <f>B54</f>
        <v/>
      </c>
      <c r="C101" s="33">
        <f>C54</f>
        <v/>
      </c>
      <c r="D101" s="33">
        <f>D54</f>
        <v/>
      </c>
      <c r="E101" s="34">
        <f>E54</f>
        <v/>
      </c>
      <c r="F101" s="35">
        <f>L54</f>
        <v/>
      </c>
      <c r="G101" s="36">
        <f>L54/$L$82</f>
        <v/>
      </c>
    </row>
    <row r="102">
      <c r="A102" s="33" t="n">
        <v>13</v>
      </c>
      <c r="B102" s="33">
        <f>B79</f>
        <v/>
      </c>
      <c r="C102" s="33">
        <f>C79</f>
        <v/>
      </c>
      <c r="D102" s="33">
        <f>D79</f>
        <v/>
      </c>
      <c r="E102" s="34">
        <f>E79</f>
        <v/>
      </c>
      <c r="F102" s="35">
        <f>L79</f>
        <v/>
      </c>
      <c r="G102" s="36">
        <f>L79/$L$82</f>
        <v/>
      </c>
    </row>
    <row r="103">
      <c r="A103" s="33" t="n">
        <v>14</v>
      </c>
      <c r="B103" s="33">
        <f>B14</f>
        <v/>
      </c>
      <c r="C103" s="33">
        <f>C14</f>
        <v/>
      </c>
      <c r="D103" s="33">
        <f>D14</f>
        <v/>
      </c>
      <c r="E103" s="34">
        <f>E14</f>
        <v/>
      </c>
      <c r="F103" s="35">
        <f>L14</f>
        <v/>
      </c>
      <c r="G103" s="36">
        <f>L14/$L$82</f>
        <v/>
      </c>
    </row>
    <row r="104">
      <c r="A104" s="33" t="n">
        <v>15</v>
      </c>
      <c r="B104" s="33">
        <f>B11</f>
        <v/>
      </c>
      <c r="C104" s="33">
        <f>C11</f>
        <v/>
      </c>
      <c r="D104" s="33">
        <f>D11</f>
        <v/>
      </c>
      <c r="E104" s="34">
        <f>E11</f>
        <v/>
      </c>
      <c r="F104" s="35">
        <f>L11</f>
        <v/>
      </c>
      <c r="G104" s="36">
        <f>L11/$L$82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0" customWidth="1" min="3" max="3"/>
    <col width="50" customWidth="1" min="4" max="4"/>
  </cols>
  <sheetData>
    <row r="1">
      <c r="A1" s="37" t="inlineStr">
        <is>
          <t>Fix or confirm these before buying</t>
        </is>
      </c>
    </row>
    <row r="3">
      <c r="A3" s="32" t="inlineStr">
        <is>
          <t>Severity</t>
        </is>
      </c>
      <c r="B3" s="32" t="inlineStr">
        <is>
          <t>Refs</t>
        </is>
      </c>
      <c r="C3" s="32" t="inlineStr">
        <is>
          <t>Problem</t>
        </is>
      </c>
      <c r="D3" s="32" t="inlineStr">
        <is>
          <t>What to buy for now</t>
        </is>
      </c>
    </row>
    <row r="4">
      <c r="A4" s="17" t="inlineStr">
        <is>
          <t>High</t>
        </is>
      </c>
      <c r="B4" s="12" t="inlineStr">
        <is>
          <t>C72</t>
        </is>
      </c>
      <c r="C4" s="12" t="inlineStr">
        <is>
          <t>100 nF on the 10.5-100 V input rail uses the same general-purpose 0603 part (C14663) as the logic decoupling caps. A 50 V-class cap on a 100 V rail can crack or short.</t>
        </is>
      </c>
      <c r="D4" s="12" t="inlineStr">
        <is>
          <t>100 nF X7R rated ≥100 V. Then update the schematic part number.</t>
        </is>
      </c>
    </row>
    <row r="5">
      <c r="A5" s="17" t="inlineStr">
        <is>
          <t>High</t>
        </is>
      </c>
      <c r="B5" s="12" t="inlineStr">
        <is>
          <t>R56, R58</t>
        </is>
      </c>
      <c r="C5" s="12" t="inlineStr">
        <is>
          <t>Value says 47 kΩ but the LCSC field is C17414 (10 kΩ). An order placed by LCSC number gets the wrong resistor.</t>
        </is>
      </c>
      <c r="D5" s="12" t="inlineStr">
        <is>
          <t>47 kΩ 0805. Fix the LCSC field in tools/sheets.py.</t>
        </is>
      </c>
    </row>
    <row r="6">
      <c r="A6" s="17" t="inlineStr">
        <is>
          <t>High</t>
        </is>
      </c>
      <c r="B6" s="12" t="inlineStr">
        <is>
          <t>R66, R67, R68</t>
        </is>
      </c>
      <c r="C6" s="12" t="inlineStr">
        <is>
          <t>Value says 33 Ω (USIM series) but the LCSC field is C17408 (100 Ω). Known F-5 placeholder.</t>
        </is>
      </c>
      <c r="D6" s="12" t="inlineStr">
        <is>
          <t>33 Ω 0805.</t>
        </is>
      </c>
    </row>
    <row r="7">
      <c r="A7" s="38" t="inlineStr">
        <is>
          <t>Medium</t>
        </is>
      </c>
      <c r="B7" s="12" t="inlineStr">
        <is>
          <t>C12, C63</t>
        </is>
      </c>
      <c r="C7" s="12" t="inlineStr">
        <is>
          <t>LCSC C23733 is a 4.7 µF 10 V part in 0402, but the footprint is 0805 (found in price check).</t>
        </is>
      </c>
      <c r="D7" s="12" t="inlineStr">
        <is>
          <t>4.7 µF ≥10 V 0805 X5R/X7R, e.g. LCSC C1779.</t>
        </is>
      </c>
    </row>
    <row r="8">
      <c r="A8" s="38" t="inlineStr">
        <is>
          <t>Medium</t>
        </is>
      </c>
      <c r="B8" s="12" t="inlineStr">
        <is>
          <t>C1, C2</t>
        </is>
      </c>
      <c r="C8" s="12" t="inlineStr">
        <is>
          <t>LCSC C1653 is 22 pF, but the value is 18 pF (8 MHz crystal load caps).</t>
        </is>
      </c>
      <c r="D8" s="12" t="inlineStr">
        <is>
          <t>18 pF C0G 0603, e.g. LCSC C1647.</t>
        </is>
      </c>
    </row>
    <row r="9">
      <c r="A9" s="38" t="inlineStr">
        <is>
          <t>Medium</t>
        </is>
      </c>
      <c r="B9" s="12" t="inlineStr">
        <is>
          <t>Y1</t>
        </is>
      </c>
      <c r="C9" s="12" t="inlineStr">
        <is>
          <t>LCSC C115962 is an 8 MHz crystal in a 5.0x3.2 mm package with 20 pF load, but the footprint is 3.2x2.5 mm.</t>
        </is>
      </c>
      <c r="D9" s="12" t="inlineStr">
        <is>
          <t>8 MHz 3225 4-pin crystal; recheck load caps against its CL.</t>
        </is>
      </c>
    </row>
    <row r="10">
      <c r="A10" s="38" t="inlineStr">
        <is>
          <t>Medium</t>
        </is>
      </c>
      <c r="B10" s="12" t="inlineStr">
        <is>
          <t>R71, R72</t>
        </is>
      </c>
      <c r="C10" s="12" t="inlineStr">
        <is>
          <t>Footprint is 0402 but the LCSC field is C17477 (0805 0 Ω).</t>
        </is>
      </c>
      <c r="D10" s="12" t="inlineStr">
        <is>
          <t>0 Ω 0402.</t>
        </is>
      </c>
    </row>
    <row r="11">
      <c r="A11" s="38" t="inlineStr">
        <is>
          <t>Medium</t>
        </is>
      </c>
      <c r="B11" s="12" t="inlineStr">
        <is>
          <t>C83</t>
        </is>
      </c>
      <c r="C11" s="12" t="inlineStr">
        <is>
          <t>Footprint is 0402 but the LCSC field is C14663 (0603 100 nF).</t>
        </is>
      </c>
      <c r="D11" s="12" t="inlineStr">
        <is>
          <t>100 nF X7R 0402.</t>
        </is>
      </c>
    </row>
    <row r="12">
      <c r="A12" s="38" t="inlineStr">
        <is>
          <t>Medium</t>
        </is>
      </c>
      <c r="B12" s="12" t="inlineStr">
        <is>
          <t>D13, D20, D21</t>
        </is>
      </c>
      <c r="C12" s="12" t="inlineStr">
        <is>
          <t>Labelled NET, GRN and BLU, but all three use LCSC C2286. Colours are undecided.</t>
        </is>
      </c>
      <c r="D12" s="12" t="inlineStr">
        <is>
          <t>Pick colours, then buy 0603 LEDs.</t>
        </is>
      </c>
    </row>
    <row r="13">
      <c r="A13" s="38" t="inlineStr">
        <is>
          <t>Medium</t>
        </is>
      </c>
      <c r="B13" s="12" t="inlineStr">
        <is>
          <t>R83, R84, R85, R86, R88, R89, C64</t>
        </is>
      </c>
      <c r="C13" s="12" t="inlineStr">
        <is>
          <t>Values are provisional (design log F-5) and have no part number. R83/R84 set the 5 V output, R85/R86 set charge/input current, R88/R89 set the battery NTC thresholds.</t>
        </is>
      </c>
      <c r="D13" s="12" t="inlineStr">
        <is>
          <t>Confirm values first. They are cheap 1% 0805 parts, so buy a few nearby E96 values as backup.</t>
        </is>
      </c>
    </row>
    <row r="14">
      <c r="A14" s="38" t="inlineStr">
        <is>
          <t>Medium</t>
        </is>
      </c>
      <c r="B14" s="12" t="inlineStr">
        <is>
          <t>R90, C85</t>
        </is>
      </c>
      <c r="C14" s="12" t="inlineStr">
        <is>
          <t>GNSS feed parts have no part number yet (F-22).</t>
        </is>
      </c>
      <c r="D14" s="12" t="inlineStr">
        <is>
          <t>68 Ω 1210 and 10 nF 0402.</t>
        </is>
      </c>
    </row>
    <row r="15">
      <c r="A15" s="38" t="inlineStr">
        <is>
          <t>Medium</t>
        </is>
      </c>
      <c r="B15" s="12" t="inlineStr">
        <is>
          <t>U5 EG11752, L2 ACT45B</t>
        </is>
      </c>
      <c r="C15" s="12" t="inlineStr">
        <is>
          <t>Stock is thin at LCSC and these are unlikely to be found in local markets.</t>
        </is>
      </c>
      <c r="D15" s="12" t="inlineStr">
        <is>
          <t>Order from LCSC/JLC early.</t>
        </is>
      </c>
    </row>
    <row r="16">
      <c r="A16" s="38" t="inlineStr">
        <is>
          <t>Info</t>
        </is>
      </c>
      <c r="B16" s="12" t="inlineStr">
        <is>
          <t>J1 harness</t>
        </is>
      </c>
      <c r="C16" s="12" t="inlineStr">
        <is>
          <t>Only the PCB header is in the BOM. The harness side (housing, crimps, wire) is not.</t>
        </is>
      </c>
      <c r="D16" s="12" t="inlineStr">
        <is>
          <t>Add Micro-Fit 3.0 2x6 receptacle + crimps if you build the cable.</t>
        </is>
      </c>
    </row>
    <row r="17">
      <c r="A17" s="38" t="inlineStr">
        <is>
          <t>Info</t>
        </is>
      </c>
      <c r="B17" s="12" t="inlineStr">
        <is>
          <t>Enclosure</t>
        </is>
      </c>
      <c r="C17" s="12" t="inlineStr">
        <is>
          <t>No enclosure, gasket, cable gland or antenna mounting hardware is in the BOM.</t>
        </is>
      </c>
      <c r="D17" s="12" t="inlineStr">
        <is>
          <t>Source separately.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48" customWidth="1" min="4" max="4"/>
  </cols>
  <sheetData>
    <row r="1">
      <c r="A1" s="37" t="inlineStr">
        <is>
          <t>On the schematic but not bought</t>
        </is>
      </c>
    </row>
    <row r="3">
      <c r="A3" s="32" t="inlineStr">
        <is>
          <t>Ref</t>
        </is>
      </c>
      <c r="B3" s="32" t="inlineStr">
        <is>
          <t>Value</t>
        </is>
      </c>
      <c r="C3" s="32" t="inlineStr">
        <is>
          <t>Footprint</t>
        </is>
      </c>
      <c r="D3" s="32" t="inlineStr">
        <is>
          <t>Why not bought</t>
        </is>
      </c>
    </row>
    <row r="4">
      <c r="A4" s="39" t="inlineStr">
        <is>
          <t>C48</t>
        </is>
      </c>
      <c r="B4" s="39" t="inlineStr">
        <is>
          <t>DNP</t>
        </is>
      </c>
      <c r="C4" s="39" t="inlineStr">
        <is>
          <t>C_0402_1005Metric</t>
        </is>
      </c>
      <c r="D4" s="39" t="inlineStr">
        <is>
          <t>DNP (do not populate)</t>
        </is>
      </c>
    </row>
    <row r="5">
      <c r="A5" s="39" t="inlineStr">
        <is>
          <t>C49</t>
        </is>
      </c>
      <c r="B5" s="39" t="inlineStr">
        <is>
          <t>DNP</t>
        </is>
      </c>
      <c r="C5" s="39" t="inlineStr">
        <is>
          <t>C_0402_1005Metric</t>
        </is>
      </c>
      <c r="D5" s="39" t="inlineStr">
        <is>
          <t>DNP (do not populate)</t>
        </is>
      </c>
    </row>
    <row r="6">
      <c r="A6" s="39" t="inlineStr">
        <is>
          <t>C50</t>
        </is>
      </c>
      <c r="B6" s="39" t="inlineStr">
        <is>
          <t>DNP</t>
        </is>
      </c>
      <c r="C6" s="39" t="inlineStr">
        <is>
          <t>C_0402_1005Metric</t>
        </is>
      </c>
      <c r="D6" s="39" t="inlineStr">
        <is>
          <t>DNP (do not populate)</t>
        </is>
      </c>
    </row>
    <row r="7">
      <c r="A7" s="39" t="inlineStr">
        <is>
          <t>C51</t>
        </is>
      </c>
      <c r="B7" s="39" t="inlineStr">
        <is>
          <t>DNP</t>
        </is>
      </c>
      <c r="C7" s="39" t="inlineStr">
        <is>
          <t>C_0402_1005Metric</t>
        </is>
      </c>
      <c r="D7" s="39" t="inlineStr">
        <is>
          <t>DNP (do not populate)</t>
        </is>
      </c>
    </row>
    <row r="8">
      <c r="A8" s="39" t="inlineStr">
        <is>
          <t>R70</t>
        </is>
      </c>
      <c r="B8" s="39" t="inlineStr">
        <is>
          <t>0R</t>
        </is>
      </c>
      <c r="C8" s="39" t="inlineStr">
        <is>
          <t>R_0805_2012Metric</t>
        </is>
      </c>
      <c r="D8" s="39" t="inlineStr">
        <is>
          <t>DNP: 0 Ω selector for the eSIM path</t>
        </is>
      </c>
    </row>
    <row r="9">
      <c r="A9" s="39" t="inlineStr">
        <is>
          <t>X2</t>
        </is>
      </c>
      <c r="B9" s="39" t="inlineStr">
        <is>
          <t>MFF2-eSIM-pads</t>
        </is>
      </c>
      <c r="C9" s="39" t="inlineStr">
        <is>
          <t>eSIM_MFF2_VFDFPN8</t>
        </is>
      </c>
      <c r="D9" s="39" t="inlineStr">
        <is>
          <t>DNP: footprint for future soldered eSIM (MFF2)</t>
        </is>
      </c>
    </row>
    <row r="10">
      <c r="A10" s="39" t="inlineStr">
        <is>
          <t>JP1</t>
        </is>
      </c>
      <c r="B10" s="39" t="inlineStr">
        <is>
          <t>BOOT0_SEL</t>
        </is>
      </c>
      <c r="C10" s="39" t="inlineStr">
        <is>
          <t>SolderJumper-2_P1.3mm_Open_Pad1.0x1.5mm</t>
        </is>
      </c>
      <c r="D10" s="39" t="inlineStr">
        <is>
          <t>Solder jumper on PCB</t>
        </is>
      </c>
    </row>
    <row r="11">
      <c r="A11" s="39" t="inlineStr">
        <is>
          <t>JP2</t>
        </is>
      </c>
      <c r="B11" s="39" t="inlineStr">
        <is>
          <t>CAN_TERM</t>
        </is>
      </c>
      <c r="C11" s="39" t="inlineStr">
        <is>
          <t>SolderJumper-2_P1.3mm_Open_Pad1.0x1.5mm</t>
        </is>
      </c>
      <c r="D11" s="39" t="inlineStr">
        <is>
          <t>Solder jumper on PCB</t>
        </is>
      </c>
    </row>
    <row r="12">
      <c r="A12" s="39" t="inlineStr">
        <is>
          <t>TP1</t>
        </is>
      </c>
      <c r="B12" s="39" t="inlineStr">
        <is>
          <t>SWDIO</t>
        </is>
      </c>
      <c r="C12" s="39" t="inlineStr">
        <is>
          <t>TestPoint_Pad_D1.5mm</t>
        </is>
      </c>
      <c r="D12" s="39" t="inlineStr">
        <is>
          <t>Copper test pad on PCB</t>
        </is>
      </c>
    </row>
    <row r="13">
      <c r="A13" s="39" t="inlineStr">
        <is>
          <t>TP13</t>
        </is>
      </c>
      <c r="B13" s="39" t="inlineStr">
        <is>
          <t>SYS</t>
        </is>
      </c>
      <c r="C13" s="39" t="inlineStr">
        <is>
          <t>TestPoint_Pad_D1.5mm</t>
        </is>
      </c>
      <c r="D13" s="39" t="inlineStr">
        <is>
          <t>Copper test pad on PCB</t>
        </is>
      </c>
    </row>
    <row r="14">
      <c r="A14" s="39" t="inlineStr">
        <is>
          <t>TP15</t>
        </is>
      </c>
      <c r="B14" s="39" t="inlineStr">
        <is>
          <t>USB_DP_TP</t>
        </is>
      </c>
      <c r="C14" s="39" t="inlineStr">
        <is>
          <t>TestPoint_Pad_D1.5mm</t>
        </is>
      </c>
      <c r="D14" s="39" t="inlineStr">
        <is>
          <t>Copper test pad on PCB</t>
        </is>
      </c>
    </row>
    <row r="15">
      <c r="A15" s="39" t="inlineStr">
        <is>
          <t>TP16</t>
        </is>
      </c>
      <c r="B15" s="39" t="inlineStr">
        <is>
          <t>USB_DM_TP</t>
        </is>
      </c>
      <c r="C15" s="39" t="inlineStr">
        <is>
          <t>TestPoint_Pad_D1.5mm</t>
        </is>
      </c>
      <c r="D15" s="39" t="inlineStr">
        <is>
          <t>Copper test pad on PCB</t>
        </is>
      </c>
    </row>
    <row r="16">
      <c r="A16" s="39" t="inlineStr">
        <is>
          <t>TP17</t>
        </is>
      </c>
      <c r="B16" s="39" t="inlineStr">
        <is>
          <t>USB_VBUS</t>
        </is>
      </c>
      <c r="C16" s="39" t="inlineStr">
        <is>
          <t>TestPoint_Pad_D1.5mm</t>
        </is>
      </c>
      <c r="D16" s="39" t="inlineStr">
        <is>
          <t>Copper test pad on PCB</t>
        </is>
      </c>
    </row>
    <row r="17">
      <c r="A17" s="39" t="inlineStr">
        <is>
          <t>TP18</t>
        </is>
      </c>
      <c r="B17" s="39" t="inlineStr">
        <is>
          <t>GND</t>
        </is>
      </c>
      <c r="C17" s="39" t="inlineStr">
        <is>
          <t>TestPoint_Pad_D1.5mm</t>
        </is>
      </c>
      <c r="D17" s="39" t="inlineStr">
        <is>
          <t>Copper test pad on PCB</t>
        </is>
      </c>
    </row>
    <row r="18">
      <c r="A18" s="39" t="inlineStr">
        <is>
          <t>TP19</t>
        </is>
      </c>
      <c r="B18" s="39" t="inlineStr">
        <is>
          <t>5V0</t>
        </is>
      </c>
      <c r="C18" s="39" t="inlineStr">
        <is>
          <t>TestPoint_Pad_D1.5mm</t>
        </is>
      </c>
      <c r="D18" s="39" t="inlineStr">
        <is>
          <t>Copper test pad on PCB</t>
        </is>
      </c>
    </row>
    <row r="19">
      <c r="A19" s="39" t="inlineStr">
        <is>
          <t>TP2</t>
        </is>
      </c>
      <c r="B19" s="39" t="inlineStr">
        <is>
          <t>SWCLK</t>
        </is>
      </c>
      <c r="C19" s="39" t="inlineStr">
        <is>
          <t>TestPoint_Pad_D1.5mm</t>
        </is>
      </c>
      <c r="D19" s="39" t="inlineStr">
        <is>
          <t>Copper test pad on PCB</t>
        </is>
      </c>
    </row>
    <row r="20">
      <c r="A20" s="39" t="inlineStr">
        <is>
          <t>TP23</t>
        </is>
      </c>
      <c r="B20" s="39" t="inlineStr">
        <is>
          <t>VIN</t>
        </is>
      </c>
      <c r="C20" s="39" t="inlineStr">
        <is>
          <t>TestPoint_Pad_D1.5mm</t>
        </is>
      </c>
      <c r="D20" s="39" t="inlineStr">
        <is>
          <t>Copper test pad on PCB</t>
        </is>
      </c>
    </row>
    <row r="21">
      <c r="A21" s="39" t="inlineStr">
        <is>
          <t>TP24</t>
        </is>
      </c>
      <c r="B21" s="39" t="inlineStr">
        <is>
          <t>VBAT_MODEM</t>
        </is>
      </c>
      <c r="C21" s="39" t="inlineStr">
        <is>
          <t>TestPoint_Pad_D1.5mm</t>
        </is>
      </c>
      <c r="D21" s="39" t="inlineStr">
        <is>
          <t>Copper test pad on PCB</t>
        </is>
      </c>
    </row>
    <row r="22">
      <c r="A22" s="39" t="inlineStr">
        <is>
          <t>TP25</t>
        </is>
      </c>
      <c r="B22" s="39" t="inlineStr">
        <is>
          <t>CANH</t>
        </is>
      </c>
      <c r="C22" s="39" t="inlineStr">
        <is>
          <t>TestPoint_Pad_D1.5mm</t>
        </is>
      </c>
      <c r="D22" s="39" t="inlineStr">
        <is>
          <t>Copper test pad on PCB</t>
        </is>
      </c>
    </row>
    <row r="23">
      <c r="A23" s="39" t="inlineStr">
        <is>
          <t>TP26</t>
        </is>
      </c>
      <c r="B23" s="39" t="inlineStr">
        <is>
          <t>CANL</t>
        </is>
      </c>
      <c r="C23" s="39" t="inlineStr">
        <is>
          <t>TestPoint_Pad_D1.5mm</t>
        </is>
      </c>
      <c r="D23" s="39" t="inlineStr">
        <is>
          <t>Copper test pad on PCB</t>
        </is>
      </c>
    </row>
    <row r="24">
      <c r="A24" s="39" t="inlineStr">
        <is>
          <t>TP27</t>
        </is>
      </c>
      <c r="B24" s="39" t="inlineStr">
        <is>
          <t>MODEM_TX</t>
        </is>
      </c>
      <c r="C24" s="39" t="inlineStr">
        <is>
          <t>TestPoint_Pad_D1.5mm</t>
        </is>
      </c>
      <c r="D24" s="39" t="inlineStr">
        <is>
          <t>Copper test pad on PCB</t>
        </is>
      </c>
    </row>
    <row r="25">
      <c r="A25" s="39" t="inlineStr">
        <is>
          <t>TP28</t>
        </is>
      </c>
      <c r="B25" s="39" t="inlineStr">
        <is>
          <t>MODEM_RX</t>
        </is>
      </c>
      <c r="C25" s="39" t="inlineStr">
        <is>
          <t>TestPoint_Pad_D1.5mm</t>
        </is>
      </c>
      <c r="D25" s="39" t="inlineStr">
        <is>
          <t>Copper test pad on PCB</t>
        </is>
      </c>
    </row>
    <row r="26">
      <c r="A26" s="39" t="inlineStr">
        <is>
          <t>TP3</t>
        </is>
      </c>
      <c r="B26" s="39" t="inlineStr">
        <is>
          <t>NRST</t>
        </is>
      </c>
      <c r="C26" s="39" t="inlineStr">
        <is>
          <t>TestPoint_Pad_D1.5mm</t>
        </is>
      </c>
      <c r="D26" s="39" t="inlineStr">
        <is>
          <t>Copper test pad on PCB</t>
        </is>
      </c>
    </row>
    <row r="27">
      <c r="A27" s="39" t="inlineStr">
        <is>
          <t>TP4</t>
        </is>
      </c>
      <c r="B27" s="39" t="inlineStr">
        <is>
          <t>DBG_TX</t>
        </is>
      </c>
      <c r="C27" s="39" t="inlineStr">
        <is>
          <t>TestPoint_Pad_D1.5mm</t>
        </is>
      </c>
      <c r="D27" s="39" t="inlineStr">
        <is>
          <t>Copper test pad on PCB</t>
        </is>
      </c>
    </row>
    <row r="28">
      <c r="A28" s="39" t="inlineStr">
        <is>
          <t>TP5</t>
        </is>
      </c>
      <c r="B28" s="39" t="inlineStr">
        <is>
          <t>DBG_RX</t>
        </is>
      </c>
      <c r="C28" s="39" t="inlineStr">
        <is>
          <t>TestPoint_Pad_D1.5mm</t>
        </is>
      </c>
      <c r="D28" s="39" t="inlineStr">
        <is>
          <t>Copper test pad on PCB</t>
        </is>
      </c>
    </row>
    <row r="29">
      <c r="A29" s="39" t="inlineStr">
        <is>
          <t>TP6</t>
        </is>
      </c>
      <c r="B29" s="39" t="inlineStr">
        <is>
          <t>3V3</t>
        </is>
      </c>
      <c r="C29" s="39" t="inlineStr">
        <is>
          <t>TestPoint_Pad_D1.5mm</t>
        </is>
      </c>
      <c r="D29" s="39" t="inlineStr">
        <is>
          <t>Copper test pad on PCB</t>
        </is>
      </c>
    </row>
    <row r="30">
      <c r="A30" s="39" t="inlineStr">
        <is>
          <t>TP7</t>
        </is>
      </c>
      <c r="B30" s="39" t="inlineStr">
        <is>
          <t>GND</t>
        </is>
      </c>
      <c r="C30" s="39" t="inlineStr">
        <is>
          <t>TestPoint_Pad_D1.5mm</t>
        </is>
      </c>
      <c r="D30" s="39" t="inlineStr">
        <is>
          <t>Copper test pad on PCB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44" customWidth="1" min="4" max="4"/>
    <col width="14" customWidth="1" min="5" max="5"/>
    <col width="6" customWidth="1" min="6" max="6"/>
  </cols>
  <sheetData>
    <row r="1">
      <c r="A1" s="32" t="inlineStr">
        <is>
          <t>Sheet</t>
        </is>
      </c>
      <c r="B1" s="32" t="inlineStr">
        <is>
          <t>Ref</t>
        </is>
      </c>
      <c r="C1" s="32" t="inlineStr">
        <is>
          <t>Value</t>
        </is>
      </c>
      <c r="D1" s="32" t="inlineStr">
        <is>
          <t>Footprint</t>
        </is>
      </c>
      <c r="E1" s="32" t="inlineStr">
        <is>
          <t>LCSC</t>
        </is>
      </c>
      <c r="F1" s="32" t="inlineStr">
        <is>
          <t>DNP</t>
        </is>
      </c>
    </row>
    <row r="2">
      <c r="A2" s="39" t="inlineStr">
        <is>
          <t>modem_rf</t>
        </is>
      </c>
      <c r="B2" s="39" t="inlineStr">
        <is>
          <t>AF1</t>
        </is>
      </c>
      <c r="C2" s="39" t="inlineStr">
        <is>
          <t>U.FL</t>
        </is>
      </c>
      <c r="D2" s="39" t="inlineStr">
        <is>
          <t>CONN-SMD_XY-IPEX1</t>
        </is>
      </c>
      <c r="E2" s="39" t="inlineStr">
        <is>
          <t>C53133524</t>
        </is>
      </c>
      <c r="F2" s="39" t="inlineStr">
        <is>
          <t>no</t>
        </is>
      </c>
    </row>
    <row r="3">
      <c r="A3" s="39" t="inlineStr">
        <is>
          <t>modem_rf</t>
        </is>
      </c>
      <c r="B3" s="39" t="inlineStr">
        <is>
          <t>AF2</t>
        </is>
      </c>
      <c r="C3" s="39" t="inlineStr">
        <is>
          <t>U.FL</t>
        </is>
      </c>
      <c r="D3" s="39" t="inlineStr">
        <is>
          <t>CONN-SMD_XY-IPEX1</t>
        </is>
      </c>
      <c r="E3" s="39" t="inlineStr">
        <is>
          <t>C53133524</t>
        </is>
      </c>
      <c r="F3" s="39" t="inlineStr">
        <is>
          <t>no</t>
        </is>
      </c>
    </row>
    <row r="4">
      <c r="A4" s="39" t="inlineStr">
        <is>
          <t>mcu</t>
        </is>
      </c>
      <c r="B4" s="39" t="inlineStr">
        <is>
          <t>C1</t>
        </is>
      </c>
      <c r="C4" s="39" t="inlineStr">
        <is>
          <t>18pF</t>
        </is>
      </c>
      <c r="D4" s="39" t="inlineStr">
        <is>
          <t>C_0603_1608Metric</t>
        </is>
      </c>
      <c r="E4" s="39" t="inlineStr">
        <is>
          <t>C1653</t>
        </is>
      </c>
      <c r="F4" s="39" t="inlineStr">
        <is>
          <t>no</t>
        </is>
      </c>
    </row>
    <row r="5">
      <c r="A5" s="39" t="inlineStr">
        <is>
          <t>mcu</t>
        </is>
      </c>
      <c r="B5" s="39" t="inlineStr">
        <is>
          <t>C2</t>
        </is>
      </c>
      <c r="C5" s="39" t="inlineStr">
        <is>
          <t>18pF</t>
        </is>
      </c>
      <c r="D5" s="39" t="inlineStr">
        <is>
          <t>C_0603_1608Metric</t>
        </is>
      </c>
      <c r="E5" s="39" t="inlineStr">
        <is>
          <t>C1653</t>
        </is>
      </c>
      <c r="F5" s="39" t="inlineStr">
        <is>
          <t>no</t>
        </is>
      </c>
    </row>
    <row r="6">
      <c r="A6" s="39" t="inlineStr">
        <is>
          <t>mcu</t>
        </is>
      </c>
      <c r="B6" s="39" t="inlineStr">
        <is>
          <t>C3</t>
        </is>
      </c>
      <c r="C6" s="39" t="inlineStr">
        <is>
          <t>6.8pF</t>
        </is>
      </c>
      <c r="D6" s="39" t="inlineStr">
        <is>
          <t>C_0603_1608Metric</t>
        </is>
      </c>
      <c r="E6" s="39" t="inlineStr">
        <is>
          <t>C1555</t>
        </is>
      </c>
      <c r="F6" s="39" t="inlineStr">
        <is>
          <t>no</t>
        </is>
      </c>
    </row>
    <row r="7">
      <c r="A7" s="39" t="inlineStr">
        <is>
          <t>mcu</t>
        </is>
      </c>
      <c r="B7" s="39" t="inlineStr">
        <is>
          <t>C4</t>
        </is>
      </c>
      <c r="C7" s="39" t="inlineStr">
        <is>
          <t>6.8pF</t>
        </is>
      </c>
      <c r="D7" s="39" t="inlineStr">
        <is>
          <t>C_0603_1608Metric</t>
        </is>
      </c>
      <c r="E7" s="39" t="inlineStr">
        <is>
          <t>C1555</t>
        </is>
      </c>
      <c r="F7" s="39" t="inlineStr">
        <is>
          <t>no</t>
        </is>
      </c>
    </row>
    <row r="8">
      <c r="A8" s="39" t="inlineStr">
        <is>
          <t>mcu</t>
        </is>
      </c>
      <c r="B8" s="39" t="inlineStr">
        <is>
          <t>C5</t>
        </is>
      </c>
      <c r="C8" s="39" t="inlineStr">
        <is>
          <t>100nF</t>
        </is>
      </c>
      <c r="D8" s="39" t="inlineStr">
        <is>
          <t>C_0603_1608Metric</t>
        </is>
      </c>
      <c r="E8" s="39" t="inlineStr">
        <is>
          <t>C14663</t>
        </is>
      </c>
      <c r="F8" s="39" t="inlineStr">
        <is>
          <t>no</t>
        </is>
      </c>
    </row>
    <row r="9">
      <c r="A9" s="39" t="inlineStr">
        <is>
          <t>mcu</t>
        </is>
      </c>
      <c r="B9" s="39" t="inlineStr">
        <is>
          <t>C6</t>
        </is>
      </c>
      <c r="C9" s="39" t="inlineStr">
        <is>
          <t>100nF</t>
        </is>
      </c>
      <c r="D9" s="39" t="inlineStr">
        <is>
          <t>C_0603_1608Metric</t>
        </is>
      </c>
      <c r="E9" s="39" t="inlineStr">
        <is>
          <t>C14663</t>
        </is>
      </c>
      <c r="F9" s="39" t="inlineStr">
        <is>
          <t>no</t>
        </is>
      </c>
    </row>
    <row r="10">
      <c r="A10" s="39" t="inlineStr">
        <is>
          <t>mcu</t>
        </is>
      </c>
      <c r="B10" s="39" t="inlineStr">
        <is>
          <t>C7</t>
        </is>
      </c>
      <c r="C10" s="39" t="inlineStr">
        <is>
          <t>1uF</t>
        </is>
      </c>
      <c r="D10" s="39" t="inlineStr">
        <is>
          <t>C_0603_1608Metric</t>
        </is>
      </c>
      <c r="E10" s="39" t="inlineStr">
        <is>
          <t>C15849</t>
        </is>
      </c>
      <c r="F10" s="39" t="inlineStr">
        <is>
          <t>no</t>
        </is>
      </c>
    </row>
    <row r="11">
      <c r="A11" s="39" t="inlineStr">
        <is>
          <t>mcu</t>
        </is>
      </c>
      <c r="B11" s="39" t="inlineStr">
        <is>
          <t>C8</t>
        </is>
      </c>
      <c r="C11" s="39" t="inlineStr">
        <is>
          <t>100nF</t>
        </is>
      </c>
      <c r="D11" s="39" t="inlineStr">
        <is>
          <t>C_0603_1608Metric</t>
        </is>
      </c>
      <c r="E11" s="39" t="inlineStr">
        <is>
          <t>C14663</t>
        </is>
      </c>
      <c r="F11" s="39" t="inlineStr">
        <is>
          <t>no</t>
        </is>
      </c>
    </row>
    <row r="12">
      <c r="A12" s="39" t="inlineStr">
        <is>
          <t>mcu</t>
        </is>
      </c>
      <c r="B12" s="39" t="inlineStr">
        <is>
          <t>C9</t>
        </is>
      </c>
      <c r="C12" s="39" t="inlineStr">
        <is>
          <t>100nF</t>
        </is>
      </c>
      <c r="D12" s="39" t="inlineStr">
        <is>
          <t>C_0603_1608Metric</t>
        </is>
      </c>
      <c r="E12" s="39" t="inlineStr">
        <is>
          <t>C14663</t>
        </is>
      </c>
      <c r="F12" s="39" t="inlineStr">
        <is>
          <t>no</t>
        </is>
      </c>
    </row>
    <row r="13">
      <c r="A13" s="39" t="inlineStr">
        <is>
          <t>mcu</t>
        </is>
      </c>
      <c r="B13" s="39" t="inlineStr">
        <is>
          <t>C10</t>
        </is>
      </c>
      <c r="C13" s="39" t="inlineStr">
        <is>
          <t>100nF</t>
        </is>
      </c>
      <c r="D13" s="39" t="inlineStr">
        <is>
          <t>C_0603_1608Metric</t>
        </is>
      </c>
      <c r="E13" s="39" t="inlineStr">
        <is>
          <t>C14663</t>
        </is>
      </c>
      <c r="F13" s="39" t="inlineStr">
        <is>
          <t>no</t>
        </is>
      </c>
    </row>
    <row r="14">
      <c r="A14" s="39" t="inlineStr">
        <is>
          <t>mcu</t>
        </is>
      </c>
      <c r="B14" s="39" t="inlineStr">
        <is>
          <t>C11</t>
        </is>
      </c>
      <c r="C14" s="39" t="inlineStr">
        <is>
          <t>100nF</t>
        </is>
      </c>
      <c r="D14" s="39" t="inlineStr">
        <is>
          <t>C_0603_1608Metric</t>
        </is>
      </c>
      <c r="E14" s="39" t="inlineStr">
        <is>
          <t>C14663</t>
        </is>
      </c>
      <c r="F14" s="39" t="inlineStr">
        <is>
          <t>no</t>
        </is>
      </c>
    </row>
    <row r="15">
      <c r="A15" s="39" t="inlineStr">
        <is>
          <t>mcu</t>
        </is>
      </c>
      <c r="B15" s="39" t="inlineStr">
        <is>
          <t>C12</t>
        </is>
      </c>
      <c r="C15" s="39" t="inlineStr">
        <is>
          <t>4.7uF</t>
        </is>
      </c>
      <c r="D15" s="39" t="inlineStr">
        <is>
          <t>C_0805_2012Metric</t>
        </is>
      </c>
      <c r="E15" s="39" t="inlineStr">
        <is>
          <t>C23733</t>
        </is>
      </c>
      <c r="F15" s="39" t="inlineStr">
        <is>
          <t>no</t>
        </is>
      </c>
    </row>
    <row r="16">
      <c r="A16" s="39" t="inlineStr">
        <is>
          <t>mcu</t>
        </is>
      </c>
      <c r="B16" s="39" t="inlineStr">
        <is>
          <t>C13</t>
        </is>
      </c>
      <c r="C16" s="39" t="inlineStr">
        <is>
          <t>100nF</t>
        </is>
      </c>
      <c r="D16" s="39" t="inlineStr">
        <is>
          <t>C_0603_1608Metric</t>
        </is>
      </c>
      <c r="E16" s="39" t="inlineStr">
        <is>
          <t>C14663</t>
        </is>
      </c>
      <c r="F16" s="39" t="inlineStr">
        <is>
          <t>no</t>
        </is>
      </c>
    </row>
    <row r="17">
      <c r="A17" s="39" t="inlineStr">
        <is>
          <t>mcu</t>
        </is>
      </c>
      <c r="B17" s="39" t="inlineStr">
        <is>
          <t>C14</t>
        </is>
      </c>
      <c r="C17" s="39" t="inlineStr">
        <is>
          <t>1uF</t>
        </is>
      </c>
      <c r="D17" s="39" t="inlineStr">
        <is>
          <t>C_0603_1608Metric</t>
        </is>
      </c>
      <c r="E17" s="39" t="inlineStr">
        <is>
          <t>C15849</t>
        </is>
      </c>
      <c r="F17" s="39" t="inlineStr">
        <is>
          <t>no</t>
        </is>
      </c>
    </row>
    <row r="18">
      <c r="A18" s="39" t="inlineStr">
        <is>
          <t>storage</t>
        </is>
      </c>
      <c r="B18" s="39" t="inlineStr">
        <is>
          <t>C20</t>
        </is>
      </c>
      <c r="C18" s="39" t="inlineStr">
        <is>
          <t>100nF</t>
        </is>
      </c>
      <c r="D18" s="39" t="inlineStr">
        <is>
          <t>C_0603_1608Metric</t>
        </is>
      </c>
      <c r="E18" s="39" t="inlineStr">
        <is>
          <t>C14663</t>
        </is>
      </c>
      <c r="F18" s="39" t="inlineStr">
        <is>
          <t>no</t>
        </is>
      </c>
    </row>
    <row r="19">
      <c r="A19" s="39" t="inlineStr">
        <is>
          <t>storage</t>
        </is>
      </c>
      <c r="B19" s="39" t="inlineStr">
        <is>
          <t>C21</t>
        </is>
      </c>
      <c r="C19" s="39" t="inlineStr">
        <is>
          <t>1uF</t>
        </is>
      </c>
      <c r="D19" s="39" t="inlineStr">
        <is>
          <t>C_0603_1608Metric</t>
        </is>
      </c>
      <c r="E19" s="39" t="inlineStr">
        <is>
          <t>C15849</t>
        </is>
      </c>
      <c r="F19" s="39" t="inlineStr">
        <is>
          <t>no</t>
        </is>
      </c>
    </row>
    <row r="20">
      <c r="A20" s="39" t="inlineStr">
        <is>
          <t>io</t>
        </is>
      </c>
      <c r="B20" s="39" t="inlineStr">
        <is>
          <t>C22</t>
        </is>
      </c>
      <c r="C20" s="39" t="inlineStr">
        <is>
          <t>4.7nF</t>
        </is>
      </c>
      <c r="D20" s="39" t="inlineStr">
        <is>
          <t>C_0603_1608Metric</t>
        </is>
      </c>
      <c r="E20" s="39" t="inlineStr">
        <is>
          <t>C1621</t>
        </is>
      </c>
      <c r="F20" s="39" t="inlineStr">
        <is>
          <t>no</t>
        </is>
      </c>
    </row>
    <row r="21">
      <c r="A21" s="39" t="inlineStr">
        <is>
          <t>io</t>
        </is>
      </c>
      <c r="B21" s="39" t="inlineStr">
        <is>
          <t>C23</t>
        </is>
      </c>
      <c r="C21" s="39" t="inlineStr">
        <is>
          <t>100nF</t>
        </is>
      </c>
      <c r="D21" s="39" t="inlineStr">
        <is>
          <t>C_0603_1608Metric</t>
        </is>
      </c>
      <c r="E21" s="39" t="inlineStr">
        <is>
          <t>C14663</t>
        </is>
      </c>
      <c r="F21" s="39" t="inlineStr">
        <is>
          <t>no</t>
        </is>
      </c>
    </row>
    <row r="22">
      <c r="A22" s="39" t="inlineStr">
        <is>
          <t>io</t>
        </is>
      </c>
      <c r="B22" s="39" t="inlineStr">
        <is>
          <t>C24</t>
        </is>
      </c>
      <c r="C22" s="39" t="inlineStr">
        <is>
          <t>100nF</t>
        </is>
      </c>
      <c r="D22" s="39" t="inlineStr">
        <is>
          <t>C_0603_1608Metric</t>
        </is>
      </c>
      <c r="E22" s="39" t="inlineStr">
        <is>
          <t>C14663</t>
        </is>
      </c>
      <c r="F22" s="39" t="inlineStr">
        <is>
          <t>no</t>
        </is>
      </c>
    </row>
    <row r="23">
      <c r="A23" s="39" t="inlineStr">
        <is>
          <t>io</t>
        </is>
      </c>
      <c r="B23" s="39" t="inlineStr">
        <is>
          <t>C25</t>
        </is>
      </c>
      <c r="C23" s="39" t="inlineStr">
        <is>
          <t>100nF</t>
        </is>
      </c>
      <c r="D23" s="39" t="inlineStr">
        <is>
          <t>C_0603_1608Metric</t>
        </is>
      </c>
      <c r="E23" s="39" t="inlineStr">
        <is>
          <t>C14663</t>
        </is>
      </c>
      <c r="F23" s="39" t="inlineStr">
        <is>
          <t>no</t>
        </is>
      </c>
    </row>
    <row r="24">
      <c r="A24" s="39" t="inlineStr">
        <is>
          <t>io</t>
        </is>
      </c>
      <c r="B24" s="39" t="inlineStr">
        <is>
          <t>C26</t>
        </is>
      </c>
      <c r="C24" s="39" t="inlineStr">
        <is>
          <t>100nF</t>
        </is>
      </c>
      <c r="D24" s="39" t="inlineStr">
        <is>
          <t>C_0603_1608Metric</t>
        </is>
      </c>
      <c r="E24" s="39" t="inlineStr">
        <is>
          <t>C14663</t>
        </is>
      </c>
      <c r="F24" s="39" t="inlineStr">
        <is>
          <t>no</t>
        </is>
      </c>
    </row>
    <row r="25">
      <c r="A25" s="39" t="inlineStr">
        <is>
          <t>io</t>
        </is>
      </c>
      <c r="B25" s="39" t="inlineStr">
        <is>
          <t>C27</t>
        </is>
      </c>
      <c r="C25" s="39" t="inlineStr">
        <is>
          <t>100nF</t>
        </is>
      </c>
      <c r="D25" s="39" t="inlineStr">
        <is>
          <t>C_0603_1608Metric</t>
        </is>
      </c>
      <c r="E25" s="39" t="inlineStr">
        <is>
          <t>C14663</t>
        </is>
      </c>
      <c r="F25" s="39" t="inlineStr">
        <is>
          <t>no</t>
        </is>
      </c>
    </row>
    <row r="26">
      <c r="A26" s="39" t="inlineStr">
        <is>
          <t>io</t>
        </is>
      </c>
      <c r="B26" s="39" t="inlineStr">
        <is>
          <t>C28</t>
        </is>
      </c>
      <c r="C26" s="39" t="inlineStr">
        <is>
          <t>100nF</t>
        </is>
      </c>
      <c r="D26" s="39" t="inlineStr">
        <is>
          <t>C_0603_1608Metric</t>
        </is>
      </c>
      <c r="E26" s="39" t="inlineStr">
        <is>
          <t>C14663</t>
        </is>
      </c>
      <c r="F26" s="39" t="inlineStr">
        <is>
          <t>no</t>
        </is>
      </c>
    </row>
    <row r="27">
      <c r="A27" s="39" t="inlineStr">
        <is>
          <t>io</t>
        </is>
      </c>
      <c r="B27" s="39" t="inlineStr">
        <is>
          <t>C29</t>
        </is>
      </c>
      <c r="C27" s="39" t="inlineStr">
        <is>
          <t>100nF</t>
        </is>
      </c>
      <c r="D27" s="39" t="inlineStr">
        <is>
          <t>C_0603_1608Metric</t>
        </is>
      </c>
      <c r="E27" s="39" t="inlineStr">
        <is>
          <t>C14663</t>
        </is>
      </c>
      <c r="F27" s="39" t="inlineStr">
        <is>
          <t>no</t>
        </is>
      </c>
    </row>
    <row r="28">
      <c r="A28" s="39" t="inlineStr">
        <is>
          <t>modem_rf</t>
        </is>
      </c>
      <c r="B28" s="39" t="inlineStr">
        <is>
          <t>C40</t>
        </is>
      </c>
      <c r="C28" s="39" t="inlineStr">
        <is>
          <t>47uF X7R</t>
        </is>
      </c>
      <c r="D28" s="39" t="inlineStr">
        <is>
          <t>C_1210_3225Metric</t>
        </is>
      </c>
      <c r="E28" s="39" t="inlineStr">
        <is>
          <t>C84494</t>
        </is>
      </c>
      <c r="F28" s="39" t="inlineStr">
        <is>
          <t>no</t>
        </is>
      </c>
    </row>
    <row r="29">
      <c r="A29" s="39" t="inlineStr">
        <is>
          <t>modem_rf</t>
        </is>
      </c>
      <c r="B29" s="39" t="inlineStr">
        <is>
          <t>C41</t>
        </is>
      </c>
      <c r="C29" s="39" t="inlineStr">
        <is>
          <t>47uF X7R</t>
        </is>
      </c>
      <c r="D29" s="39" t="inlineStr">
        <is>
          <t>C_1210_3225Metric</t>
        </is>
      </c>
      <c r="E29" s="39" t="inlineStr">
        <is>
          <t>C84494</t>
        </is>
      </c>
      <c r="F29" s="39" t="inlineStr">
        <is>
          <t>no</t>
        </is>
      </c>
    </row>
    <row r="30">
      <c r="A30" s="39" t="inlineStr">
        <is>
          <t>modem_rf</t>
        </is>
      </c>
      <c r="B30" s="39" t="inlineStr">
        <is>
          <t>C42</t>
        </is>
      </c>
      <c r="C30" s="39" t="inlineStr">
        <is>
          <t>1uF</t>
        </is>
      </c>
      <c r="D30" s="39" t="inlineStr">
        <is>
          <t>C_0603_1608Metric</t>
        </is>
      </c>
      <c r="E30" s="39" t="inlineStr">
        <is>
          <t>C15849</t>
        </is>
      </c>
      <c r="F30" s="39" t="inlineStr">
        <is>
          <t>no</t>
        </is>
      </c>
    </row>
    <row r="31">
      <c r="A31" s="39" t="inlineStr">
        <is>
          <t>modem_rf</t>
        </is>
      </c>
      <c r="B31" s="39" t="inlineStr">
        <is>
          <t>C43</t>
        </is>
      </c>
      <c r="C31" s="39" t="inlineStr">
        <is>
          <t>100nF</t>
        </is>
      </c>
      <c r="D31" s="39" t="inlineStr">
        <is>
          <t>C_0603_1608Metric</t>
        </is>
      </c>
      <c r="E31" s="39" t="inlineStr">
        <is>
          <t>C14663</t>
        </is>
      </c>
      <c r="F31" s="39" t="inlineStr">
        <is>
          <t>no</t>
        </is>
      </c>
    </row>
    <row r="32">
      <c r="A32" s="39" t="inlineStr">
        <is>
          <t>modem_rf</t>
        </is>
      </c>
      <c r="B32" s="39" t="inlineStr">
        <is>
          <t>C44</t>
        </is>
      </c>
      <c r="C32" s="39" t="inlineStr">
        <is>
          <t>1uF</t>
        </is>
      </c>
      <c r="D32" s="39" t="inlineStr">
        <is>
          <t>C_0603_1608Metric</t>
        </is>
      </c>
      <c r="E32" s="39" t="inlineStr">
        <is>
          <t>C15849</t>
        </is>
      </c>
      <c r="F32" s="39" t="inlineStr">
        <is>
          <t>no</t>
        </is>
      </c>
    </row>
    <row r="33">
      <c r="A33" s="39" t="inlineStr">
        <is>
          <t>modem_rf</t>
        </is>
      </c>
      <c r="B33" s="39" t="inlineStr">
        <is>
          <t>C45</t>
        </is>
      </c>
      <c r="C33" s="39" t="inlineStr">
        <is>
          <t>100nF</t>
        </is>
      </c>
      <c r="D33" s="39" t="inlineStr">
        <is>
          <t>C_0603_1608Metric</t>
        </is>
      </c>
      <c r="E33" s="39" t="inlineStr">
        <is>
          <t>C14663</t>
        </is>
      </c>
      <c r="F33" s="39" t="inlineStr">
        <is>
          <t>no</t>
        </is>
      </c>
    </row>
    <row r="34">
      <c r="A34" s="39" t="inlineStr">
        <is>
          <t>modem_rf</t>
        </is>
      </c>
      <c r="B34" s="39" t="inlineStr">
        <is>
          <t>C46</t>
        </is>
      </c>
      <c r="C34" s="39" t="inlineStr">
        <is>
          <t>100nF</t>
        </is>
      </c>
      <c r="D34" s="39" t="inlineStr">
        <is>
          <t>C_0603_1608Metric</t>
        </is>
      </c>
      <c r="E34" s="39" t="inlineStr">
        <is>
          <t>C14663</t>
        </is>
      </c>
      <c r="F34" s="39" t="inlineStr">
        <is>
          <t>no</t>
        </is>
      </c>
    </row>
    <row r="35">
      <c r="A35" s="39" t="inlineStr">
        <is>
          <t>modem_rf</t>
        </is>
      </c>
      <c r="B35" s="39" t="inlineStr">
        <is>
          <t>C47</t>
        </is>
      </c>
      <c r="C35" s="39" t="inlineStr">
        <is>
          <t>100nF</t>
        </is>
      </c>
      <c r="D35" s="39" t="inlineStr">
        <is>
          <t>C_0603_1608Metric</t>
        </is>
      </c>
      <c r="E35" s="39" t="inlineStr">
        <is>
          <t>C14663</t>
        </is>
      </c>
      <c r="F35" s="39" t="inlineStr">
        <is>
          <t>no</t>
        </is>
      </c>
    </row>
    <row r="36">
      <c r="A36" s="39" t="inlineStr">
        <is>
          <t>modem_rf</t>
        </is>
      </c>
      <c r="B36" s="39" t="inlineStr">
        <is>
          <t>C48</t>
        </is>
      </c>
      <c r="C36" s="39" t="inlineStr">
        <is>
          <t>DNP</t>
        </is>
      </c>
      <c r="D36" s="39" t="inlineStr">
        <is>
          <t>C_0402_1005Metric</t>
        </is>
      </c>
      <c r="E36" s="39" t="inlineStr"/>
      <c r="F36" s="39" t="inlineStr">
        <is>
          <t>yes</t>
        </is>
      </c>
    </row>
    <row r="37">
      <c r="A37" s="39" t="inlineStr">
        <is>
          <t>modem_rf</t>
        </is>
      </c>
      <c r="B37" s="39" t="inlineStr">
        <is>
          <t>C49</t>
        </is>
      </c>
      <c r="C37" s="39" t="inlineStr">
        <is>
          <t>DNP</t>
        </is>
      </c>
      <c r="D37" s="39" t="inlineStr">
        <is>
          <t>C_0402_1005Metric</t>
        </is>
      </c>
      <c r="E37" s="39" t="inlineStr"/>
      <c r="F37" s="39" t="inlineStr">
        <is>
          <t>yes</t>
        </is>
      </c>
    </row>
    <row r="38">
      <c r="A38" s="39" t="inlineStr">
        <is>
          <t>modem_rf</t>
        </is>
      </c>
      <c r="B38" s="39" t="inlineStr">
        <is>
          <t>C50</t>
        </is>
      </c>
      <c r="C38" s="39" t="inlineStr">
        <is>
          <t>DNP</t>
        </is>
      </c>
      <c r="D38" s="39" t="inlineStr">
        <is>
          <t>C_0402_1005Metric</t>
        </is>
      </c>
      <c r="E38" s="39" t="inlineStr"/>
      <c r="F38" s="39" t="inlineStr">
        <is>
          <t>yes</t>
        </is>
      </c>
    </row>
    <row r="39">
      <c r="A39" s="39" t="inlineStr">
        <is>
          <t>modem_rf</t>
        </is>
      </c>
      <c r="B39" s="39" t="inlineStr">
        <is>
          <t>C51</t>
        </is>
      </c>
      <c r="C39" s="39" t="inlineStr">
        <is>
          <t>DNP</t>
        </is>
      </c>
      <c r="D39" s="39" t="inlineStr">
        <is>
          <t>C_0402_1005Metric</t>
        </is>
      </c>
      <c r="E39" s="39" t="inlineStr"/>
      <c r="F39" s="39" t="inlineStr">
        <is>
          <t>yes</t>
        </is>
      </c>
    </row>
    <row r="40">
      <c r="A40" s="39" t="inlineStr">
        <is>
          <t>power</t>
        </is>
      </c>
      <c r="B40" s="39" t="inlineStr">
        <is>
          <t>C61</t>
        </is>
      </c>
      <c r="C40" s="39" t="inlineStr">
        <is>
          <t>1uF</t>
        </is>
      </c>
      <c r="D40" s="39" t="inlineStr">
        <is>
          <t>C_0603_1608Metric</t>
        </is>
      </c>
      <c r="E40" s="39" t="inlineStr">
        <is>
          <t>C15849</t>
        </is>
      </c>
      <c r="F40" s="39" t="inlineStr">
        <is>
          <t>no</t>
        </is>
      </c>
    </row>
    <row r="41">
      <c r="A41" s="39" t="inlineStr">
        <is>
          <t>power</t>
        </is>
      </c>
      <c r="B41" s="39" t="inlineStr">
        <is>
          <t>C62</t>
        </is>
      </c>
      <c r="C41" s="39" t="inlineStr">
        <is>
          <t>10uF</t>
        </is>
      </c>
      <c r="D41" s="39" t="inlineStr">
        <is>
          <t>C_0805_2012Metric</t>
        </is>
      </c>
      <c r="E41" s="39" t="inlineStr">
        <is>
          <t>C109040</t>
        </is>
      </c>
      <c r="F41" s="39" t="inlineStr">
        <is>
          <t>no</t>
        </is>
      </c>
    </row>
    <row r="42">
      <c r="A42" s="39" t="inlineStr">
        <is>
          <t>power</t>
        </is>
      </c>
      <c r="B42" s="39" t="inlineStr">
        <is>
          <t>C63</t>
        </is>
      </c>
      <c r="C42" s="39" t="inlineStr">
        <is>
          <t>4.7uF</t>
        </is>
      </c>
      <c r="D42" s="39" t="inlineStr">
        <is>
          <t>C_0805_2012Metric</t>
        </is>
      </c>
      <c r="E42" s="39" t="inlineStr">
        <is>
          <t>C23733</t>
        </is>
      </c>
      <c r="F42" s="39" t="inlineStr">
        <is>
          <t>no</t>
        </is>
      </c>
    </row>
    <row r="43">
      <c r="A43" s="39" t="inlineStr">
        <is>
          <t>power</t>
        </is>
      </c>
      <c r="B43" s="39" t="inlineStr">
        <is>
          <t>C64</t>
        </is>
      </c>
      <c r="C43" s="39" t="inlineStr">
        <is>
          <t>47nF</t>
        </is>
      </c>
      <c r="D43" s="39" t="inlineStr">
        <is>
          <t>C_0603_1608Metric</t>
        </is>
      </c>
      <c r="E43" s="39" t="inlineStr">
        <is>
          <t>TBD-F5</t>
        </is>
      </c>
      <c r="F43" s="39" t="inlineStr">
        <is>
          <t>no</t>
        </is>
      </c>
    </row>
    <row r="44">
      <c r="A44" s="39" t="inlineStr">
        <is>
          <t>power</t>
        </is>
      </c>
      <c r="B44" s="39" t="inlineStr">
        <is>
          <t>C65</t>
        </is>
      </c>
      <c r="C44" s="39" t="inlineStr">
        <is>
          <t>10uF</t>
        </is>
      </c>
      <c r="D44" s="39" t="inlineStr">
        <is>
          <t>C_0805_2012Metric</t>
        </is>
      </c>
      <c r="E44" s="39" t="inlineStr">
        <is>
          <t>C109040</t>
        </is>
      </c>
      <c r="F44" s="39" t="inlineStr">
        <is>
          <t>no</t>
        </is>
      </c>
    </row>
    <row r="45">
      <c r="A45" s="39" t="inlineStr">
        <is>
          <t>power</t>
        </is>
      </c>
      <c r="B45" s="39" t="inlineStr">
        <is>
          <t>C66</t>
        </is>
      </c>
      <c r="C45" s="39" t="inlineStr">
        <is>
          <t>10uF</t>
        </is>
      </c>
      <c r="D45" s="39" t="inlineStr">
        <is>
          <t>C_0805_2012Metric</t>
        </is>
      </c>
      <c r="E45" s="39" t="inlineStr">
        <is>
          <t>C109040</t>
        </is>
      </c>
      <c r="F45" s="39" t="inlineStr">
        <is>
          <t>no</t>
        </is>
      </c>
    </row>
    <row r="46">
      <c r="A46" s="39" t="inlineStr">
        <is>
          <t>power</t>
        </is>
      </c>
      <c r="B46" s="39" t="inlineStr">
        <is>
          <t>C67</t>
        </is>
      </c>
      <c r="C46" s="39" t="inlineStr">
        <is>
          <t>10uF</t>
        </is>
      </c>
      <c r="D46" s="39" t="inlineStr">
        <is>
          <t>C_0805_2012Metric</t>
        </is>
      </c>
      <c r="E46" s="39" t="inlineStr">
        <is>
          <t>C109040</t>
        </is>
      </c>
      <c r="F46" s="39" t="inlineStr">
        <is>
          <t>no</t>
        </is>
      </c>
    </row>
    <row r="47">
      <c r="A47" s="39" t="inlineStr">
        <is>
          <t>power</t>
        </is>
      </c>
      <c r="B47" s="39" t="inlineStr">
        <is>
          <t>C68</t>
        </is>
      </c>
      <c r="C47" s="39" t="inlineStr">
        <is>
          <t>1uF</t>
        </is>
      </c>
      <c r="D47" s="39" t="inlineStr">
        <is>
          <t>C_0603_1608Metric</t>
        </is>
      </c>
      <c r="E47" s="39" t="inlineStr">
        <is>
          <t>C15849</t>
        </is>
      </c>
      <c r="F47" s="39" t="inlineStr">
        <is>
          <t>no</t>
        </is>
      </c>
    </row>
    <row r="48">
      <c r="A48" s="39" t="inlineStr">
        <is>
          <t>power</t>
        </is>
      </c>
      <c r="B48" s="39" t="inlineStr">
        <is>
          <t>C69</t>
        </is>
      </c>
      <c r="C48" s="39" t="inlineStr">
        <is>
          <t>1uF</t>
        </is>
      </c>
      <c r="D48" s="39" t="inlineStr">
        <is>
          <t>C_0603_1608Metric</t>
        </is>
      </c>
      <c r="E48" s="39" t="inlineStr">
        <is>
          <t>C15849</t>
        </is>
      </c>
      <c r="F48" s="39" t="inlineStr">
        <is>
          <t>no</t>
        </is>
      </c>
    </row>
    <row r="49">
      <c r="A49" s="39" t="inlineStr">
        <is>
          <t>power</t>
        </is>
      </c>
      <c r="B49" s="39" t="inlineStr">
        <is>
          <t>C70</t>
        </is>
      </c>
      <c r="C49" s="39" t="inlineStr">
        <is>
          <t>2.2uF 100V</t>
        </is>
      </c>
      <c r="D49" s="39" t="inlineStr">
        <is>
          <t>C_1210_3225Metric</t>
        </is>
      </c>
      <c r="E49" s="39" t="inlineStr">
        <is>
          <t>C5449052</t>
        </is>
      </c>
      <c r="F49" s="39" t="inlineStr">
        <is>
          <t>no</t>
        </is>
      </c>
    </row>
    <row r="50">
      <c r="A50" s="39" t="inlineStr">
        <is>
          <t>power</t>
        </is>
      </c>
      <c r="B50" s="39" t="inlineStr">
        <is>
          <t>C71</t>
        </is>
      </c>
      <c r="C50" s="39" t="inlineStr">
        <is>
          <t>2.2uF 100V</t>
        </is>
      </c>
      <c r="D50" s="39" t="inlineStr">
        <is>
          <t>C_1210_3225Metric</t>
        </is>
      </c>
      <c r="E50" s="39" t="inlineStr">
        <is>
          <t>C5449052</t>
        </is>
      </c>
      <c r="F50" s="39" t="inlineStr">
        <is>
          <t>no</t>
        </is>
      </c>
    </row>
    <row r="51">
      <c r="A51" s="39" t="inlineStr">
        <is>
          <t>power</t>
        </is>
      </c>
      <c r="B51" s="39" t="inlineStr">
        <is>
          <t>C72</t>
        </is>
      </c>
      <c r="C51" s="39" t="inlineStr">
        <is>
          <t>100nF</t>
        </is>
      </c>
      <c r="D51" s="39" t="inlineStr">
        <is>
          <t>C_0603_1608Metric</t>
        </is>
      </c>
      <c r="E51" s="39" t="inlineStr">
        <is>
          <t>C14663</t>
        </is>
      </c>
      <c r="F51" s="39" t="inlineStr">
        <is>
          <t>no</t>
        </is>
      </c>
    </row>
    <row r="52">
      <c r="A52" s="39" t="inlineStr">
        <is>
          <t>power</t>
        </is>
      </c>
      <c r="B52" s="39" t="inlineStr">
        <is>
          <t>C73</t>
        </is>
      </c>
      <c r="C52" s="39" t="inlineStr">
        <is>
          <t>2.2uF 100V</t>
        </is>
      </c>
      <c r="D52" s="39" t="inlineStr">
        <is>
          <t>C_1210_3225Metric</t>
        </is>
      </c>
      <c r="E52" s="39" t="inlineStr">
        <is>
          <t>C5449052</t>
        </is>
      </c>
      <c r="F52" s="39" t="inlineStr">
        <is>
          <t>no</t>
        </is>
      </c>
    </row>
    <row r="53">
      <c r="A53" s="39" t="inlineStr">
        <is>
          <t>power</t>
        </is>
      </c>
      <c r="B53" s="39" t="inlineStr">
        <is>
          <t>C74</t>
        </is>
      </c>
      <c r="C53" s="39" t="inlineStr">
        <is>
          <t>2.2uF 100V</t>
        </is>
      </c>
      <c r="D53" s="39" t="inlineStr">
        <is>
          <t>C_1210_3225Metric</t>
        </is>
      </c>
      <c r="E53" s="39" t="inlineStr">
        <is>
          <t>C5449052</t>
        </is>
      </c>
      <c r="F53" s="39" t="inlineStr">
        <is>
          <t>no</t>
        </is>
      </c>
    </row>
    <row r="54">
      <c r="A54" s="39" t="inlineStr">
        <is>
          <t>power</t>
        </is>
      </c>
      <c r="B54" s="39" t="inlineStr">
        <is>
          <t>C75</t>
        </is>
      </c>
      <c r="C54" s="39" t="inlineStr">
        <is>
          <t>1uF 25V</t>
        </is>
      </c>
      <c r="D54" s="39" t="inlineStr">
        <is>
          <t>C_0603_1608Metric</t>
        </is>
      </c>
      <c r="E54" s="39" t="inlineStr">
        <is>
          <t>C15849</t>
        </is>
      </c>
      <c r="F54" s="39" t="inlineStr">
        <is>
          <t>no</t>
        </is>
      </c>
    </row>
    <row r="55">
      <c r="A55" s="39" t="inlineStr">
        <is>
          <t>power</t>
        </is>
      </c>
      <c r="B55" s="39" t="inlineStr">
        <is>
          <t>C76</t>
        </is>
      </c>
      <c r="C55" s="39" t="inlineStr">
        <is>
          <t>100nF 25V</t>
        </is>
      </c>
      <c r="D55" s="39" t="inlineStr">
        <is>
          <t>C_0603_1608Metric</t>
        </is>
      </c>
      <c r="E55" s="39" t="inlineStr">
        <is>
          <t>C14663</t>
        </is>
      </c>
      <c r="F55" s="39" t="inlineStr">
        <is>
          <t>no</t>
        </is>
      </c>
    </row>
    <row r="56">
      <c r="A56" s="39" t="inlineStr">
        <is>
          <t>power</t>
        </is>
      </c>
      <c r="B56" s="39" t="inlineStr">
        <is>
          <t>C77</t>
        </is>
      </c>
      <c r="C56" s="39" t="inlineStr">
        <is>
          <t>10uF</t>
        </is>
      </c>
      <c r="D56" s="39" t="inlineStr">
        <is>
          <t>C_0805_2012Metric</t>
        </is>
      </c>
      <c r="E56" s="39" t="inlineStr">
        <is>
          <t>C109040</t>
        </is>
      </c>
      <c r="F56" s="39" t="inlineStr">
        <is>
          <t>no</t>
        </is>
      </c>
    </row>
    <row r="57">
      <c r="A57" s="39" t="inlineStr">
        <is>
          <t>power</t>
        </is>
      </c>
      <c r="B57" s="39" t="inlineStr">
        <is>
          <t>C78</t>
        </is>
      </c>
      <c r="C57" s="39" t="inlineStr">
        <is>
          <t>10uF</t>
        </is>
      </c>
      <c r="D57" s="39" t="inlineStr">
        <is>
          <t>C_0805_2012Metric</t>
        </is>
      </c>
      <c r="E57" s="39" t="inlineStr">
        <is>
          <t>C109040</t>
        </is>
      </c>
      <c r="F57" s="39" t="inlineStr">
        <is>
          <t>no</t>
        </is>
      </c>
    </row>
    <row r="58">
      <c r="A58" s="39" t="inlineStr">
        <is>
          <t>power</t>
        </is>
      </c>
      <c r="B58" s="39" t="inlineStr">
        <is>
          <t>C79</t>
        </is>
      </c>
      <c r="C58" s="39" t="inlineStr">
        <is>
          <t>10uF</t>
        </is>
      </c>
      <c r="D58" s="39" t="inlineStr">
        <is>
          <t>C_0805_2012Metric</t>
        </is>
      </c>
      <c r="E58" s="39" t="inlineStr">
        <is>
          <t>C109040</t>
        </is>
      </c>
      <c r="F58" s="39" t="inlineStr">
        <is>
          <t>no</t>
        </is>
      </c>
    </row>
    <row r="59">
      <c r="A59" s="39" t="inlineStr">
        <is>
          <t>power</t>
        </is>
      </c>
      <c r="B59" s="39" t="inlineStr">
        <is>
          <t>C80</t>
        </is>
      </c>
      <c r="C59" s="39" t="inlineStr">
        <is>
          <t>100nF</t>
        </is>
      </c>
      <c r="D59" s="39" t="inlineStr">
        <is>
          <t>C_0603_1608Metric</t>
        </is>
      </c>
      <c r="E59" s="39" t="inlineStr">
        <is>
          <t>C14663</t>
        </is>
      </c>
      <c r="F59" s="39" t="inlineStr">
        <is>
          <t>no</t>
        </is>
      </c>
    </row>
    <row r="60">
      <c r="A60" s="39" t="inlineStr">
        <is>
          <t>modem_rf</t>
        </is>
      </c>
      <c r="B60" s="39" t="inlineStr">
        <is>
          <t>C81</t>
        </is>
      </c>
      <c r="C60" s="39" t="inlineStr">
        <is>
          <t>47uF X7R</t>
        </is>
      </c>
      <c r="D60" s="39" t="inlineStr">
        <is>
          <t>C_1210_3225Metric</t>
        </is>
      </c>
      <c r="E60" s="39" t="inlineStr">
        <is>
          <t>C84494</t>
        </is>
      </c>
      <c r="F60" s="39" t="inlineStr">
        <is>
          <t>no</t>
        </is>
      </c>
    </row>
    <row r="61">
      <c r="A61" s="39" t="inlineStr">
        <is>
          <t>modem_rf</t>
        </is>
      </c>
      <c r="B61" s="39" t="inlineStr">
        <is>
          <t>C82</t>
        </is>
      </c>
      <c r="C61" s="39" t="inlineStr">
        <is>
          <t>47uF X7R</t>
        </is>
      </c>
      <c r="D61" s="39" t="inlineStr">
        <is>
          <t>C_1210_3225Metric</t>
        </is>
      </c>
      <c r="E61" s="39" t="inlineStr">
        <is>
          <t>C84494</t>
        </is>
      </c>
      <c r="F61" s="39" t="inlineStr">
        <is>
          <t>no</t>
        </is>
      </c>
    </row>
    <row r="62">
      <c r="A62" s="39" t="inlineStr">
        <is>
          <t>modem_rf</t>
        </is>
      </c>
      <c r="B62" s="39" t="inlineStr">
        <is>
          <t>C83</t>
        </is>
      </c>
      <c r="C62" s="39" t="inlineStr">
        <is>
          <t>100nF</t>
        </is>
      </c>
      <c r="D62" s="39" t="inlineStr">
        <is>
          <t>C_0402_1005Metric</t>
        </is>
      </c>
      <c r="E62" s="39" t="inlineStr">
        <is>
          <t>C14663</t>
        </is>
      </c>
      <c r="F62" s="39" t="inlineStr">
        <is>
          <t>no</t>
        </is>
      </c>
    </row>
    <row r="63">
      <c r="A63" s="39" t="inlineStr">
        <is>
          <t>modem_rf</t>
        </is>
      </c>
      <c r="B63" s="39" t="inlineStr">
        <is>
          <t>C84</t>
        </is>
      </c>
      <c r="C63" s="39" t="inlineStr">
        <is>
          <t>100pF C0G</t>
        </is>
      </c>
      <c r="D63" s="39" t="inlineStr">
        <is>
          <t>C_0402_1005Metric</t>
        </is>
      </c>
      <c r="E63" s="39" t="inlineStr">
        <is>
          <t>C1546</t>
        </is>
      </c>
      <c r="F63" s="39" t="inlineStr">
        <is>
          <t>no</t>
        </is>
      </c>
    </row>
    <row r="64">
      <c r="A64" s="39" t="inlineStr">
        <is>
          <t>modem_rf</t>
        </is>
      </c>
      <c r="B64" s="39" t="inlineStr">
        <is>
          <t>C85</t>
        </is>
      </c>
      <c r="C64" s="39" t="inlineStr">
        <is>
          <t>10nF</t>
        </is>
      </c>
      <c r="D64" s="39" t="inlineStr">
        <is>
          <t>C_0402_1005Metric</t>
        </is>
      </c>
      <c r="E64" s="39" t="inlineStr">
        <is>
          <t>TBD-F22</t>
        </is>
      </c>
      <c r="F64" s="39" t="inlineStr">
        <is>
          <t>no</t>
        </is>
      </c>
    </row>
    <row r="65">
      <c r="A65" s="39" t="inlineStr">
        <is>
          <t>power</t>
        </is>
      </c>
      <c r="B65" s="39" t="inlineStr">
        <is>
          <t>D1</t>
        </is>
      </c>
      <c r="C65" s="39" t="inlineStr">
        <is>
          <t>S3M</t>
        </is>
      </c>
      <c r="D65" s="39" t="inlineStr">
        <is>
          <t>SMB_L4.3-W3.6-LS5.3-RD</t>
        </is>
      </c>
      <c r="E65" s="39" t="inlineStr">
        <is>
          <t>C5204901</t>
        </is>
      </c>
      <c r="F65" s="39" t="inlineStr">
        <is>
          <t>no</t>
        </is>
      </c>
    </row>
    <row r="66">
      <c r="A66" s="39" t="inlineStr">
        <is>
          <t>power</t>
        </is>
      </c>
      <c r="B66" s="39" t="inlineStr">
        <is>
          <t>D2</t>
        </is>
      </c>
      <c r="C66" s="39" t="inlineStr">
        <is>
          <t>SMDJ100A</t>
        </is>
      </c>
      <c r="D66" s="39" t="inlineStr">
        <is>
          <t>D_SMC</t>
        </is>
      </c>
      <c r="E66" s="39" t="inlineStr">
        <is>
          <t>C1977839</t>
        </is>
      </c>
      <c r="F66" s="39" t="inlineStr">
        <is>
          <t>no</t>
        </is>
      </c>
    </row>
    <row r="67">
      <c r="A67" s="39" t="inlineStr">
        <is>
          <t>io</t>
        </is>
      </c>
      <c r="B67" s="39" t="inlineStr">
        <is>
          <t>D3</t>
        </is>
      </c>
      <c r="C67" s="39" t="inlineStr">
        <is>
          <t>PESD1CAN</t>
        </is>
      </c>
      <c r="D67" s="39" t="inlineStr">
        <is>
          <t>SOT-23_L2.9-W1.3-P1.90-LS2.4-BR</t>
        </is>
      </c>
      <c r="E67" s="39" t="inlineStr">
        <is>
          <t>C15771</t>
        </is>
      </c>
      <c r="F67" s="39" t="inlineStr">
        <is>
          <t>no</t>
        </is>
      </c>
    </row>
    <row r="68">
      <c r="A68" s="39" t="inlineStr">
        <is>
          <t>io</t>
        </is>
      </c>
      <c r="B68" s="39" t="inlineStr">
        <is>
          <t>D5</t>
        </is>
      </c>
      <c r="C68" s="39" t="inlineStr">
        <is>
          <t>BAV99</t>
        </is>
      </c>
      <c r="D68" s="39" t="inlineStr">
        <is>
          <t>SOT-23</t>
        </is>
      </c>
      <c r="E68" s="39" t="inlineStr">
        <is>
          <t>C2500</t>
        </is>
      </c>
      <c r="F68" s="39" t="inlineStr">
        <is>
          <t>no</t>
        </is>
      </c>
    </row>
    <row r="69">
      <c r="A69" s="39" t="inlineStr">
        <is>
          <t>io</t>
        </is>
      </c>
      <c r="B69" s="39" t="inlineStr">
        <is>
          <t>D6</t>
        </is>
      </c>
      <c r="C69" s="39" t="inlineStr">
        <is>
          <t>BAV99</t>
        </is>
      </c>
      <c r="D69" s="39" t="inlineStr">
        <is>
          <t>SOT-23</t>
        </is>
      </c>
      <c r="E69" s="39" t="inlineStr">
        <is>
          <t>C2500</t>
        </is>
      </c>
      <c r="F69" s="39" t="inlineStr">
        <is>
          <t>no</t>
        </is>
      </c>
    </row>
    <row r="70">
      <c r="A70" s="39" t="inlineStr">
        <is>
          <t>io</t>
        </is>
      </c>
      <c r="B70" s="39" t="inlineStr">
        <is>
          <t>D7</t>
        </is>
      </c>
      <c r="C70" s="39" t="inlineStr">
        <is>
          <t>SS3200</t>
        </is>
      </c>
      <c r="D70" s="39" t="inlineStr">
        <is>
          <t>D_SMA</t>
        </is>
      </c>
      <c r="E70" s="39" t="inlineStr">
        <is>
          <t>C65001</t>
        </is>
      </c>
      <c r="F70" s="39" t="inlineStr">
        <is>
          <t>no</t>
        </is>
      </c>
    </row>
    <row r="71">
      <c r="A71" s="39" t="inlineStr">
        <is>
          <t>io</t>
        </is>
      </c>
      <c r="B71" s="39" t="inlineStr">
        <is>
          <t>D8</t>
        </is>
      </c>
      <c r="C71" s="39" t="inlineStr">
        <is>
          <t>SS3200</t>
        </is>
      </c>
      <c r="D71" s="39" t="inlineStr">
        <is>
          <t>D_SMA</t>
        </is>
      </c>
      <c r="E71" s="39" t="inlineStr">
        <is>
          <t>C65001</t>
        </is>
      </c>
      <c r="F71" s="39" t="inlineStr">
        <is>
          <t>no</t>
        </is>
      </c>
    </row>
    <row r="72">
      <c r="A72" s="39" t="inlineStr">
        <is>
          <t>io</t>
        </is>
      </c>
      <c r="B72" s="39" t="inlineStr">
        <is>
          <t>D10</t>
        </is>
      </c>
      <c r="C72" s="39" t="inlineStr">
        <is>
          <t>BAV99</t>
        </is>
      </c>
      <c r="D72" s="39" t="inlineStr">
        <is>
          <t>SOT-23</t>
        </is>
      </c>
      <c r="E72" s="39" t="inlineStr">
        <is>
          <t>C2500</t>
        </is>
      </c>
      <c r="F72" s="39" t="inlineStr">
        <is>
          <t>no</t>
        </is>
      </c>
    </row>
    <row r="73">
      <c r="A73" s="39" t="inlineStr">
        <is>
          <t>io</t>
        </is>
      </c>
      <c r="B73" s="39" t="inlineStr">
        <is>
          <t>D11</t>
        </is>
      </c>
      <c r="C73" s="39" t="inlineStr">
        <is>
          <t>BAV99</t>
        </is>
      </c>
      <c r="D73" s="39" t="inlineStr">
        <is>
          <t>SOT-23</t>
        </is>
      </c>
      <c r="E73" s="39" t="inlineStr">
        <is>
          <t>C2500</t>
        </is>
      </c>
      <c r="F73" s="39" t="inlineStr">
        <is>
          <t>no</t>
        </is>
      </c>
    </row>
    <row r="74">
      <c r="A74" s="39" t="inlineStr">
        <is>
          <t>modem_rf</t>
        </is>
      </c>
      <c r="B74" s="39" t="inlineStr">
        <is>
          <t>D12</t>
        </is>
      </c>
      <c r="C74" s="39" t="inlineStr">
        <is>
          <t>SMF5.0A</t>
        </is>
      </c>
      <c r="D74" s="39" t="inlineStr">
        <is>
          <t>SOD-123FL_L2.7-W1.8-LS3.8-RD</t>
        </is>
      </c>
      <c r="E74" s="39" t="inlineStr">
        <is>
          <t>C193402</t>
        </is>
      </c>
      <c r="F74" s="39" t="inlineStr">
        <is>
          <t>no</t>
        </is>
      </c>
    </row>
    <row r="75">
      <c r="A75" s="39" t="inlineStr">
        <is>
          <t>modem_rf</t>
        </is>
      </c>
      <c r="B75" s="39" t="inlineStr">
        <is>
          <t>D13</t>
        </is>
      </c>
      <c r="C75" s="39" t="inlineStr">
        <is>
          <t>NET</t>
        </is>
      </c>
      <c r="D75" s="39" t="inlineStr">
        <is>
          <t>LED_0603_1608Metric</t>
        </is>
      </c>
      <c r="E75" s="39" t="inlineStr">
        <is>
          <t>C2286</t>
        </is>
      </c>
      <c r="F75" s="39" t="inlineStr">
        <is>
          <t>no</t>
        </is>
      </c>
    </row>
    <row r="76">
      <c r="A76" s="39" t="inlineStr">
        <is>
          <t>modem_rf</t>
        </is>
      </c>
      <c r="B76" s="39" t="inlineStr">
        <is>
          <t>D14</t>
        </is>
      </c>
      <c r="C76" s="39" t="inlineStr">
        <is>
          <t>SMF05C</t>
        </is>
      </c>
      <c r="D76" s="39" t="inlineStr">
        <is>
          <t>SOT-363_L2.0-W1.3-P0.65-LS2.1-BR</t>
        </is>
      </c>
      <c r="E76" s="39" t="inlineStr">
        <is>
          <t>C15879</t>
        </is>
      </c>
      <c r="F76" s="39" t="inlineStr">
        <is>
          <t>no</t>
        </is>
      </c>
    </row>
    <row r="77">
      <c r="A77" s="39" t="inlineStr">
        <is>
          <t>modem_rf</t>
        </is>
      </c>
      <c r="B77" s="39" t="inlineStr">
        <is>
          <t>D15</t>
        </is>
      </c>
      <c r="C77" s="39" t="inlineStr">
        <is>
          <t>USBLC6-2SC6</t>
        </is>
      </c>
      <c r="D77" s="39" t="inlineStr">
        <is>
          <t>SOT-23-6_L2.9-W1.6-P0.95-LS2.8-BL</t>
        </is>
      </c>
      <c r="E77" s="39" t="inlineStr">
        <is>
          <t>C7519</t>
        </is>
      </c>
      <c r="F77" s="39" t="inlineStr">
        <is>
          <t>no</t>
        </is>
      </c>
    </row>
    <row r="78">
      <c r="A78" s="39" t="inlineStr">
        <is>
          <t>power</t>
        </is>
      </c>
      <c r="B78" s="39" t="inlineStr">
        <is>
          <t>D16</t>
        </is>
      </c>
      <c r="C78" s="39" t="inlineStr">
        <is>
          <t>SS3200</t>
        </is>
      </c>
      <c r="D78" s="39" t="inlineStr">
        <is>
          <t>D_SMA</t>
        </is>
      </c>
      <c r="E78" s="39" t="inlineStr">
        <is>
          <t>C65001</t>
        </is>
      </c>
      <c r="F78" s="39" t="inlineStr">
        <is>
          <t>no</t>
        </is>
      </c>
    </row>
    <row r="79">
      <c r="A79" s="39" t="inlineStr">
        <is>
          <t>mcu</t>
        </is>
      </c>
      <c r="B79" s="39" t="inlineStr">
        <is>
          <t>D20</t>
        </is>
      </c>
      <c r="C79" s="39" t="inlineStr">
        <is>
          <t>GRN</t>
        </is>
      </c>
      <c r="D79" s="39" t="inlineStr">
        <is>
          <t>LED_0603_1608Metric</t>
        </is>
      </c>
      <c r="E79" s="39" t="inlineStr">
        <is>
          <t>C2286</t>
        </is>
      </c>
      <c r="F79" s="39" t="inlineStr">
        <is>
          <t>no</t>
        </is>
      </c>
    </row>
    <row r="80">
      <c r="A80" s="39" t="inlineStr">
        <is>
          <t>mcu</t>
        </is>
      </c>
      <c r="B80" s="39" t="inlineStr">
        <is>
          <t>D21</t>
        </is>
      </c>
      <c r="C80" s="39" t="inlineStr">
        <is>
          <t>BLU</t>
        </is>
      </c>
      <c r="D80" s="39" t="inlineStr">
        <is>
          <t>LED_0603_1608Metric</t>
        </is>
      </c>
      <c r="E80" s="39" t="inlineStr">
        <is>
          <t>C2286</t>
        </is>
      </c>
      <c r="F80" s="39" t="inlineStr">
        <is>
          <t>no</t>
        </is>
      </c>
    </row>
    <row r="81">
      <c r="A81" s="39" t="inlineStr">
        <is>
          <t>power</t>
        </is>
      </c>
      <c r="B81" s="39" t="inlineStr">
        <is>
          <t>F1</t>
        </is>
      </c>
      <c r="C81" s="39" t="inlineStr">
        <is>
          <t>1A 250V</t>
        </is>
      </c>
      <c r="D81" s="39" t="inlineStr">
        <is>
          <t>FUSE-SMD_L10.1-W3.1</t>
        </is>
      </c>
      <c r="E81" s="39" t="inlineStr">
        <is>
          <t>C95352</t>
        </is>
      </c>
      <c r="F81" s="39" t="inlineStr">
        <is>
          <t>no</t>
        </is>
      </c>
    </row>
    <row r="82">
      <c r="A82" s="39" t="inlineStr">
        <is>
          <t>mcu</t>
        </is>
      </c>
      <c r="B82" s="39" t="inlineStr">
        <is>
          <t>FB1</t>
        </is>
      </c>
      <c r="C82" s="39" t="inlineStr">
        <is>
          <t>600R@100MHz</t>
        </is>
      </c>
      <c r="D82" s="39" t="inlineStr">
        <is>
          <t>L_0805_2012Metric</t>
        </is>
      </c>
      <c r="E82" s="39" t="inlineStr">
        <is>
          <t>C1017</t>
        </is>
      </c>
      <c r="F82" s="39" t="inlineStr">
        <is>
          <t>no</t>
        </is>
      </c>
    </row>
    <row r="83">
      <c r="A83" s="39" t="inlineStr">
        <is>
          <t>io</t>
        </is>
      </c>
      <c r="B83" s="39" t="inlineStr">
        <is>
          <t>J1</t>
        </is>
      </c>
      <c r="C83" s="39" t="inlineStr">
        <is>
          <t>WAFER-MX3.0-12PZZ</t>
        </is>
      </c>
      <c r="D83" s="39" t="inlineStr">
        <is>
          <t>XUNPU_MX3.0-12PZZ_2x06_P3.00mm_Vertical</t>
        </is>
      </c>
      <c r="E83" s="39" t="inlineStr">
        <is>
          <t>C7588012</t>
        </is>
      </c>
      <c r="F83" s="39" t="inlineStr">
        <is>
          <t>no</t>
        </is>
      </c>
    </row>
    <row r="84">
      <c r="A84" s="39" t="inlineStr">
        <is>
          <t>power</t>
        </is>
      </c>
      <c r="B84" s="39" t="inlineStr">
        <is>
          <t>J2</t>
        </is>
      </c>
      <c r="C84" s="39" t="inlineStr">
        <is>
          <t>B3B-XH-A</t>
        </is>
      </c>
      <c r="D84" s="39" t="inlineStr">
        <is>
          <t>JST_XH_B3B-XH-A_1x03_P2.50mm_Vertical</t>
        </is>
      </c>
      <c r="E84" s="39" t="inlineStr">
        <is>
          <t>C144394</t>
        </is>
      </c>
      <c r="F84" s="39" t="inlineStr">
        <is>
          <t>no</t>
        </is>
      </c>
    </row>
    <row r="85">
      <c r="A85" s="39" t="inlineStr">
        <is>
          <t>mcu</t>
        </is>
      </c>
      <c r="B85" s="39" t="inlineStr">
        <is>
          <t>JP1</t>
        </is>
      </c>
      <c r="C85" s="39" t="inlineStr">
        <is>
          <t>BOOT0_SEL</t>
        </is>
      </c>
      <c r="D85" s="39" t="inlineStr">
        <is>
          <t>SolderJumper-2_P1.3mm_Open_Pad1.0x1.5mm</t>
        </is>
      </c>
      <c r="E85" s="39" t="inlineStr"/>
      <c r="F85" s="39" t="inlineStr">
        <is>
          <t>no</t>
        </is>
      </c>
    </row>
    <row r="86">
      <c r="A86" s="39" t="inlineStr">
        <is>
          <t>io</t>
        </is>
      </c>
      <c r="B86" s="39" t="inlineStr">
        <is>
          <t>JP2</t>
        </is>
      </c>
      <c r="C86" s="39" t="inlineStr">
        <is>
          <t>CAN_TERM</t>
        </is>
      </c>
      <c r="D86" s="39" t="inlineStr">
        <is>
          <t>SolderJumper-2_P1.3mm_Open_Pad1.0x1.5mm</t>
        </is>
      </c>
      <c r="E86" s="39" t="inlineStr"/>
      <c r="F86" s="39" t="inlineStr">
        <is>
          <t>no</t>
        </is>
      </c>
    </row>
    <row r="87">
      <c r="A87" s="39" t="inlineStr">
        <is>
          <t>power</t>
        </is>
      </c>
      <c r="B87" s="39" t="inlineStr">
        <is>
          <t>L1</t>
        </is>
      </c>
      <c r="C87" s="39" t="inlineStr">
        <is>
          <t>150uH 2.7A</t>
        </is>
      </c>
      <c r="D87" s="39" t="inlineStr">
        <is>
          <t>IND-SMD_L12.3-W12.3</t>
        </is>
      </c>
      <c r="E87" s="39" t="inlineStr">
        <is>
          <t>C21325</t>
        </is>
      </c>
      <c r="F87" s="39" t="inlineStr">
        <is>
          <t>no</t>
        </is>
      </c>
    </row>
    <row r="88">
      <c r="A88" s="39" t="inlineStr">
        <is>
          <t>io</t>
        </is>
      </c>
      <c r="B88" s="39" t="inlineStr">
        <is>
          <t>L2</t>
        </is>
      </c>
      <c r="C88" s="39" t="inlineStr">
        <is>
          <t>ACT45B-510-2P</t>
        </is>
      </c>
      <c r="D88" s="39" t="inlineStr">
        <is>
          <t>IND-SMD_4P-L4.5-W3.2-TL</t>
        </is>
      </c>
      <c r="E88" s="39" t="inlineStr">
        <is>
          <t>C76584</t>
        </is>
      </c>
      <c r="F88" s="39" t="inlineStr">
        <is>
          <t>no</t>
        </is>
      </c>
    </row>
    <row r="89">
      <c r="A89" s="39" t="inlineStr">
        <is>
          <t>power</t>
        </is>
      </c>
      <c r="B89" s="39" t="inlineStr">
        <is>
          <t>L3</t>
        </is>
      </c>
      <c r="C89" s="39" t="inlineStr">
        <is>
          <t>2.2uH</t>
        </is>
      </c>
      <c r="D89" s="39" t="inlineStr">
        <is>
          <t>L1008</t>
        </is>
      </c>
      <c r="E89" s="39" t="inlineStr">
        <is>
          <t>C391305</t>
        </is>
      </c>
      <c r="F89" s="39" t="inlineStr">
        <is>
          <t>no</t>
        </is>
      </c>
    </row>
    <row r="90">
      <c r="A90" s="39" t="inlineStr">
        <is>
          <t>modem_rf</t>
        </is>
      </c>
      <c r="B90" s="39" t="inlineStr">
        <is>
          <t>L4</t>
        </is>
      </c>
      <c r="C90" s="39" t="inlineStr">
        <is>
          <t>68nH</t>
        </is>
      </c>
      <c r="D90" s="39" t="inlineStr">
        <is>
          <t>L_0402_1005Metric</t>
        </is>
      </c>
      <c r="E90" s="39" t="inlineStr">
        <is>
          <t>C3221844</t>
        </is>
      </c>
      <c r="F90" s="39" t="inlineStr">
        <is>
          <t>no</t>
        </is>
      </c>
    </row>
    <row r="91">
      <c r="A91" s="39" t="inlineStr">
        <is>
          <t>io</t>
        </is>
      </c>
      <c r="B91" s="39" t="inlineStr">
        <is>
          <t>OK1</t>
        </is>
      </c>
      <c r="C91" s="39" t="inlineStr">
        <is>
          <t>EL357N(D)</t>
        </is>
      </c>
      <c r="D91" s="39" t="inlineStr">
        <is>
          <t>OPTO-SMD-4_L4.4-W4.1-P2.54-LS7.0-BL</t>
        </is>
      </c>
      <c r="E91" s="39" t="inlineStr">
        <is>
          <t>C359074</t>
        </is>
      </c>
      <c r="F91" s="39" t="inlineStr">
        <is>
          <t>no</t>
        </is>
      </c>
    </row>
    <row r="92">
      <c r="A92" s="39" t="inlineStr">
        <is>
          <t>io</t>
        </is>
      </c>
      <c r="B92" s="39" t="inlineStr">
        <is>
          <t>OK2</t>
        </is>
      </c>
      <c r="C92" s="39" t="inlineStr">
        <is>
          <t>EL357N(D)</t>
        </is>
      </c>
      <c r="D92" s="39" t="inlineStr">
        <is>
          <t>OPTO-SMD-4_L4.4-W4.1-P2.54-LS7.0-BL</t>
        </is>
      </c>
      <c r="E92" s="39" t="inlineStr">
        <is>
          <t>C359074</t>
        </is>
      </c>
      <c r="F92" s="39" t="inlineStr">
        <is>
          <t>no</t>
        </is>
      </c>
    </row>
    <row r="93">
      <c r="A93" s="39" t="inlineStr">
        <is>
          <t>io</t>
        </is>
      </c>
      <c r="B93" s="39" t="inlineStr">
        <is>
          <t>Q1</t>
        </is>
      </c>
      <c r="C93" s="39" t="inlineStr">
        <is>
          <t>AM2390N-TP</t>
        </is>
      </c>
      <c r="D93" s="39" t="inlineStr">
        <is>
          <t>SOT-23-3_L2.9-W1.3-P1.90-LS2.4-BR</t>
        </is>
      </c>
      <c r="E93" s="39" t="inlineStr">
        <is>
          <t>C51886143</t>
        </is>
      </c>
      <c r="F93" s="39" t="inlineStr">
        <is>
          <t>no</t>
        </is>
      </c>
    </row>
    <row r="94">
      <c r="A94" s="39" t="inlineStr">
        <is>
          <t>io</t>
        </is>
      </c>
      <c r="B94" s="39" t="inlineStr">
        <is>
          <t>Q2</t>
        </is>
      </c>
      <c r="C94" s="39" t="inlineStr">
        <is>
          <t>AM2390N-TP</t>
        </is>
      </c>
      <c r="D94" s="39" t="inlineStr">
        <is>
          <t>SOT-23-3_L2.9-W1.3-P1.90-LS2.4-BR</t>
        </is>
      </c>
      <c r="E94" s="39" t="inlineStr">
        <is>
          <t>C51886143</t>
        </is>
      </c>
      <c r="F94" s="39" t="inlineStr">
        <is>
          <t>no</t>
        </is>
      </c>
    </row>
    <row r="95">
      <c r="A95" s="39" t="inlineStr">
        <is>
          <t>modem_rf</t>
        </is>
      </c>
      <c r="B95" s="39" t="inlineStr">
        <is>
          <t>Q3</t>
        </is>
      </c>
      <c r="C95" s="39" t="inlineStr">
        <is>
          <t>AO3401A</t>
        </is>
      </c>
      <c r="D95" s="39" t="inlineStr">
        <is>
          <t>SOT-23-3_L2.9-W1.3-P1.90-LS2.4-BR</t>
        </is>
      </c>
      <c r="E95" s="39" t="inlineStr">
        <is>
          <t>C15127</t>
        </is>
      </c>
      <c r="F95" s="39" t="inlineStr">
        <is>
          <t>no</t>
        </is>
      </c>
    </row>
    <row r="96">
      <c r="A96" s="39" t="inlineStr">
        <is>
          <t>mcu</t>
        </is>
      </c>
      <c r="B96" s="39" t="inlineStr">
        <is>
          <t>Q4</t>
        </is>
      </c>
      <c r="C96" s="39" t="inlineStr">
        <is>
          <t>MMBT3904</t>
        </is>
      </c>
      <c r="D96" s="39" t="inlineStr">
        <is>
          <t>SOT-23</t>
        </is>
      </c>
      <c r="E96" s="39" t="inlineStr">
        <is>
          <t>C20526</t>
        </is>
      </c>
      <c r="F96" s="39" t="inlineStr">
        <is>
          <t>no</t>
        </is>
      </c>
    </row>
    <row r="97">
      <c r="A97" s="39" t="inlineStr">
        <is>
          <t>io</t>
        </is>
      </c>
      <c r="B97" s="39" t="inlineStr">
        <is>
          <t>Q5</t>
        </is>
      </c>
      <c r="C97" s="39" t="inlineStr">
        <is>
          <t>MMBT3904</t>
        </is>
      </c>
      <c r="D97" s="39" t="inlineStr">
        <is>
          <t>SOT-23</t>
        </is>
      </c>
      <c r="E97" s="39" t="inlineStr">
        <is>
          <t>C20526</t>
        </is>
      </c>
      <c r="F97" s="39" t="inlineStr">
        <is>
          <t>no</t>
        </is>
      </c>
    </row>
    <row r="98">
      <c r="A98" s="39" t="inlineStr">
        <is>
          <t>io</t>
        </is>
      </c>
      <c r="B98" s="39" t="inlineStr">
        <is>
          <t>Q6</t>
        </is>
      </c>
      <c r="C98" s="39" t="inlineStr">
        <is>
          <t>MMBT3904</t>
        </is>
      </c>
      <c r="D98" s="39" t="inlineStr">
        <is>
          <t>SOT-23</t>
        </is>
      </c>
      <c r="E98" s="39" t="inlineStr">
        <is>
          <t>C20526</t>
        </is>
      </c>
      <c r="F98" s="39" t="inlineStr">
        <is>
          <t>no</t>
        </is>
      </c>
    </row>
    <row r="99">
      <c r="A99" s="39" t="inlineStr">
        <is>
          <t>io</t>
        </is>
      </c>
      <c r="B99" s="39" t="inlineStr">
        <is>
          <t>Q7</t>
        </is>
      </c>
      <c r="C99" s="39" t="inlineStr">
        <is>
          <t>MMBT3904</t>
        </is>
      </c>
      <c r="D99" s="39" t="inlineStr">
        <is>
          <t>SOT-23</t>
        </is>
      </c>
      <c r="E99" s="39" t="inlineStr">
        <is>
          <t>C20526</t>
        </is>
      </c>
      <c r="F99" s="39" t="inlineStr">
        <is>
          <t>no</t>
        </is>
      </c>
    </row>
    <row r="100">
      <c r="A100" s="39" t="inlineStr">
        <is>
          <t>io</t>
        </is>
      </c>
      <c r="B100" s="39" t="inlineStr">
        <is>
          <t>Q8</t>
        </is>
      </c>
      <c r="C100" s="39" t="inlineStr">
        <is>
          <t>MMBT3904</t>
        </is>
      </c>
      <c r="D100" s="39" t="inlineStr">
        <is>
          <t>SOT-23</t>
        </is>
      </c>
      <c r="E100" s="39" t="inlineStr">
        <is>
          <t>C20526</t>
        </is>
      </c>
      <c r="F100" s="39" t="inlineStr">
        <is>
          <t>no</t>
        </is>
      </c>
    </row>
    <row r="101">
      <c r="A101" s="39" t="inlineStr">
        <is>
          <t>modem_rf</t>
        </is>
      </c>
      <c r="B101" s="39" t="inlineStr">
        <is>
          <t>Q9</t>
        </is>
      </c>
      <c r="C101" s="39" t="inlineStr">
        <is>
          <t>MMBT3904</t>
        </is>
      </c>
      <c r="D101" s="39" t="inlineStr">
        <is>
          <t>SOT-23</t>
        </is>
      </c>
      <c r="E101" s="39" t="inlineStr">
        <is>
          <t>C20526</t>
        </is>
      </c>
      <c r="F101" s="39" t="inlineStr">
        <is>
          <t>no</t>
        </is>
      </c>
    </row>
    <row r="102">
      <c r="A102" s="39" t="inlineStr">
        <is>
          <t>modem_rf</t>
        </is>
      </c>
      <c r="B102" s="39" t="inlineStr">
        <is>
          <t>Q10</t>
        </is>
      </c>
      <c r="C102" s="39" t="inlineStr">
        <is>
          <t>MMBT3904</t>
        </is>
      </c>
      <c r="D102" s="39" t="inlineStr">
        <is>
          <t>SOT-23</t>
        </is>
      </c>
      <c r="E102" s="39" t="inlineStr">
        <is>
          <t>C20526</t>
        </is>
      </c>
      <c r="F102" s="39" t="inlineStr">
        <is>
          <t>no</t>
        </is>
      </c>
    </row>
    <row r="103">
      <c r="A103" s="39" t="inlineStr">
        <is>
          <t>modem_rf</t>
        </is>
      </c>
      <c r="B103" s="39" t="inlineStr">
        <is>
          <t>Q11</t>
        </is>
      </c>
      <c r="C103" s="39" t="inlineStr">
        <is>
          <t>MMBT3904</t>
        </is>
      </c>
      <c r="D103" s="39" t="inlineStr">
        <is>
          <t>SOT-23</t>
        </is>
      </c>
      <c r="E103" s="39" t="inlineStr">
        <is>
          <t>C20526</t>
        </is>
      </c>
      <c r="F103" s="39" t="inlineStr">
        <is>
          <t>no</t>
        </is>
      </c>
    </row>
    <row r="104">
      <c r="A104" s="39" t="inlineStr">
        <is>
          <t>modem_rf</t>
        </is>
      </c>
      <c r="B104" s="39" t="inlineStr">
        <is>
          <t>Q12</t>
        </is>
      </c>
      <c r="C104" s="39" t="inlineStr">
        <is>
          <t>MMBT3904</t>
        </is>
      </c>
      <c r="D104" s="39" t="inlineStr">
        <is>
          <t>SOT-23</t>
        </is>
      </c>
      <c r="E104" s="39" t="inlineStr">
        <is>
          <t>C20526</t>
        </is>
      </c>
      <c r="F104" s="39" t="inlineStr">
        <is>
          <t>no</t>
        </is>
      </c>
    </row>
    <row r="105">
      <c r="A105" s="39" t="inlineStr">
        <is>
          <t>modem_rf</t>
        </is>
      </c>
      <c r="B105" s="39" t="inlineStr">
        <is>
          <t>Q13</t>
        </is>
      </c>
      <c r="C105" s="39" t="inlineStr">
        <is>
          <t>MMBT3906</t>
        </is>
      </c>
      <c r="D105" s="39" t="inlineStr">
        <is>
          <t>SOT-23</t>
        </is>
      </c>
      <c r="E105" s="39" t="inlineStr">
        <is>
          <t>C75549</t>
        </is>
      </c>
      <c r="F105" s="39" t="inlineStr">
        <is>
          <t>no</t>
        </is>
      </c>
    </row>
    <row r="106">
      <c r="A106" s="39" t="inlineStr">
        <is>
          <t>modem_rf</t>
        </is>
      </c>
      <c r="B106" s="39" t="inlineStr">
        <is>
          <t>Q14</t>
        </is>
      </c>
      <c r="C106" s="39" t="inlineStr">
        <is>
          <t>MMBT3904</t>
        </is>
      </c>
      <c r="D106" s="39" t="inlineStr">
        <is>
          <t>SOT-23</t>
        </is>
      </c>
      <c r="E106" s="39" t="inlineStr">
        <is>
          <t>C20526</t>
        </is>
      </c>
      <c r="F106" s="39" t="inlineStr">
        <is>
          <t>no</t>
        </is>
      </c>
    </row>
    <row r="107">
      <c r="A107" s="39" t="inlineStr">
        <is>
          <t>mcu</t>
        </is>
      </c>
      <c r="B107" s="39" t="inlineStr">
        <is>
          <t>R1</t>
        </is>
      </c>
      <c r="C107" s="39" t="inlineStr">
        <is>
          <t>10k</t>
        </is>
      </c>
      <c r="D107" s="39" t="inlineStr">
        <is>
          <t>R_0805_2012Metric</t>
        </is>
      </c>
      <c r="E107" s="39" t="inlineStr">
        <is>
          <t>C17414</t>
        </is>
      </c>
      <c r="F107" s="39" t="inlineStr">
        <is>
          <t>no</t>
        </is>
      </c>
    </row>
    <row r="108">
      <c r="A108" s="39" t="inlineStr">
        <is>
          <t>mcu</t>
        </is>
      </c>
      <c r="B108" s="39" t="inlineStr">
        <is>
          <t>R2</t>
        </is>
      </c>
      <c r="C108" s="39" t="inlineStr">
        <is>
          <t>10k</t>
        </is>
      </c>
      <c r="D108" s="39" t="inlineStr">
        <is>
          <t>R_0805_2012Metric</t>
        </is>
      </c>
      <c r="E108" s="39" t="inlineStr">
        <is>
          <t>C17414</t>
        </is>
      </c>
      <c r="F108" s="39" t="inlineStr">
        <is>
          <t>no</t>
        </is>
      </c>
    </row>
    <row r="109">
      <c r="A109" s="39" t="inlineStr">
        <is>
          <t>mcu</t>
        </is>
      </c>
      <c r="B109" s="39" t="inlineStr">
        <is>
          <t>R3</t>
        </is>
      </c>
      <c r="C109" s="39" t="inlineStr">
        <is>
          <t>0R</t>
        </is>
      </c>
      <c r="D109" s="39" t="inlineStr">
        <is>
          <t>R_0805_2012Metric</t>
        </is>
      </c>
      <c r="E109" s="39" t="inlineStr">
        <is>
          <t>C17477</t>
        </is>
      </c>
      <c r="F109" s="39" t="inlineStr">
        <is>
          <t>no</t>
        </is>
      </c>
    </row>
    <row r="110">
      <c r="A110" s="39" t="inlineStr">
        <is>
          <t>mcu</t>
        </is>
      </c>
      <c r="B110" s="39" t="inlineStr">
        <is>
          <t>R4</t>
        </is>
      </c>
      <c r="C110" s="39" t="inlineStr">
        <is>
          <t>1k</t>
        </is>
      </c>
      <c r="D110" s="39" t="inlineStr">
        <is>
          <t>R_0805_2012Metric</t>
        </is>
      </c>
      <c r="E110" s="39" t="inlineStr">
        <is>
          <t>C17513</t>
        </is>
      </c>
      <c r="F110" s="39" t="inlineStr">
        <is>
          <t>no</t>
        </is>
      </c>
    </row>
    <row r="111">
      <c r="A111" s="39" t="inlineStr">
        <is>
          <t>mcu</t>
        </is>
      </c>
      <c r="B111" s="39" t="inlineStr">
        <is>
          <t>R5</t>
        </is>
      </c>
      <c r="C111" s="39" t="inlineStr">
        <is>
          <t>4.7k</t>
        </is>
      </c>
      <c r="D111" s="39" t="inlineStr">
        <is>
          <t>R_0805_2012Metric</t>
        </is>
      </c>
      <c r="E111" s="39" t="inlineStr">
        <is>
          <t>C17673</t>
        </is>
      </c>
      <c r="F111" s="39" t="inlineStr">
        <is>
          <t>no</t>
        </is>
      </c>
    </row>
    <row r="112">
      <c r="A112" s="39" t="inlineStr">
        <is>
          <t>mcu</t>
        </is>
      </c>
      <c r="B112" s="39" t="inlineStr">
        <is>
          <t>R6</t>
        </is>
      </c>
      <c r="C112" s="39" t="inlineStr">
        <is>
          <t>1k</t>
        </is>
      </c>
      <c r="D112" s="39" t="inlineStr">
        <is>
          <t>R_0805_2012Metric</t>
        </is>
      </c>
      <c r="E112" s="39" t="inlineStr">
        <is>
          <t>C17513</t>
        </is>
      </c>
      <c r="F112" s="39" t="inlineStr">
        <is>
          <t>no</t>
        </is>
      </c>
    </row>
    <row r="113">
      <c r="A113" s="39" t="inlineStr">
        <is>
          <t>mcu</t>
        </is>
      </c>
      <c r="B113" s="39" t="inlineStr">
        <is>
          <t>R7</t>
        </is>
      </c>
      <c r="C113" s="39" t="inlineStr">
        <is>
          <t>2.2k</t>
        </is>
      </c>
      <c r="D113" s="39" t="inlineStr">
        <is>
          <t>R_0805_2012Metric</t>
        </is>
      </c>
      <c r="E113" s="39" t="inlineStr">
        <is>
          <t>C4356</t>
        </is>
      </c>
      <c r="F113" s="39" t="inlineStr">
        <is>
          <t>no</t>
        </is>
      </c>
    </row>
    <row r="114">
      <c r="A114" s="39" t="inlineStr">
        <is>
          <t>mcu</t>
        </is>
      </c>
      <c r="B114" s="39" t="inlineStr">
        <is>
          <t>R8</t>
        </is>
      </c>
      <c r="C114" s="39" t="inlineStr">
        <is>
          <t>2.2k</t>
        </is>
      </c>
      <c r="D114" s="39" t="inlineStr">
        <is>
          <t>R_0805_2012Metric</t>
        </is>
      </c>
      <c r="E114" s="39" t="inlineStr">
        <is>
          <t>C4356</t>
        </is>
      </c>
      <c r="F114" s="39" t="inlineStr">
        <is>
          <t>no</t>
        </is>
      </c>
    </row>
    <row r="115">
      <c r="A115" s="39" t="inlineStr">
        <is>
          <t>io</t>
        </is>
      </c>
      <c r="B115" s="39" t="inlineStr">
        <is>
          <t>R11</t>
        </is>
      </c>
      <c r="C115" s="39" t="inlineStr">
        <is>
          <t>60.4R</t>
        </is>
      </c>
      <c r="D115" s="39" t="inlineStr">
        <is>
          <t>R_0805_2012Metric</t>
        </is>
      </c>
      <c r="E115" s="39" t="inlineStr">
        <is>
          <t>C228935</t>
        </is>
      </c>
      <c r="F115" s="39" t="inlineStr">
        <is>
          <t>no</t>
        </is>
      </c>
    </row>
    <row r="116">
      <c r="A116" s="39" t="inlineStr">
        <is>
          <t>io</t>
        </is>
      </c>
      <c r="B116" s="39" t="inlineStr">
        <is>
          <t>R12</t>
        </is>
      </c>
      <c r="C116" s="39" t="inlineStr">
        <is>
          <t>60.4R</t>
        </is>
      </c>
      <c r="D116" s="39" t="inlineStr">
        <is>
          <t>R_0805_2012Metric</t>
        </is>
      </c>
      <c r="E116" s="39" t="inlineStr">
        <is>
          <t>C228935</t>
        </is>
      </c>
      <c r="F116" s="39" t="inlineStr">
        <is>
          <t>no</t>
        </is>
      </c>
    </row>
    <row r="117">
      <c r="A117" s="39" t="inlineStr">
        <is>
          <t>io</t>
        </is>
      </c>
      <c r="B117" s="39" t="inlineStr">
        <is>
          <t>R14</t>
        </is>
      </c>
      <c r="C117" s="39" t="inlineStr">
        <is>
          <t>12k</t>
        </is>
      </c>
      <c r="D117" s="39" t="inlineStr">
        <is>
          <t>R_1206_3216Metric</t>
        </is>
      </c>
      <c r="E117" s="39" t="inlineStr">
        <is>
          <t>C17912</t>
        </is>
      </c>
      <c r="F117" s="39" t="inlineStr">
        <is>
          <t>no</t>
        </is>
      </c>
    </row>
    <row r="118">
      <c r="A118" s="39" t="inlineStr">
        <is>
          <t>io</t>
        </is>
      </c>
      <c r="B118" s="39" t="inlineStr">
        <is>
          <t>R15</t>
        </is>
      </c>
      <c r="C118" s="39" t="inlineStr">
        <is>
          <t>12k</t>
        </is>
      </c>
      <c r="D118" s="39" t="inlineStr">
        <is>
          <t>R_1206_3216Metric</t>
        </is>
      </c>
      <c r="E118" s="39" t="inlineStr">
        <is>
          <t>C17912</t>
        </is>
      </c>
      <c r="F118" s="39" t="inlineStr">
        <is>
          <t>no</t>
        </is>
      </c>
    </row>
    <row r="119">
      <c r="A119" s="39" t="inlineStr">
        <is>
          <t>io</t>
        </is>
      </c>
      <c r="B119" s="39" t="inlineStr">
        <is>
          <t>R16</t>
        </is>
      </c>
      <c r="C119" s="39" t="inlineStr">
        <is>
          <t>12k</t>
        </is>
      </c>
      <c r="D119" s="39" t="inlineStr">
        <is>
          <t>R_1206_3216Metric</t>
        </is>
      </c>
      <c r="E119" s="39" t="inlineStr">
        <is>
          <t>C17912</t>
        </is>
      </c>
      <c r="F119" s="39" t="inlineStr">
        <is>
          <t>no</t>
        </is>
      </c>
    </row>
    <row r="120">
      <c r="A120" s="39" t="inlineStr">
        <is>
          <t>io</t>
        </is>
      </c>
      <c r="B120" s="39" t="inlineStr">
        <is>
          <t>R17</t>
        </is>
      </c>
      <c r="C120" s="39" t="inlineStr">
        <is>
          <t>12k</t>
        </is>
      </c>
      <c r="D120" s="39" t="inlineStr">
        <is>
          <t>R_1206_3216Metric</t>
        </is>
      </c>
      <c r="E120" s="39" t="inlineStr">
        <is>
          <t>C17912</t>
        </is>
      </c>
      <c r="F120" s="39" t="inlineStr">
        <is>
          <t>no</t>
        </is>
      </c>
    </row>
    <row r="121">
      <c r="A121" s="39" t="inlineStr">
        <is>
          <t>io</t>
        </is>
      </c>
      <c r="B121" s="39" t="inlineStr">
        <is>
          <t>R18</t>
        </is>
      </c>
      <c r="C121" s="39" t="inlineStr">
        <is>
          <t>12k</t>
        </is>
      </c>
      <c r="D121" s="39" t="inlineStr">
        <is>
          <t>R_1206_3216Metric</t>
        </is>
      </c>
      <c r="E121" s="39" t="inlineStr">
        <is>
          <t>C17912</t>
        </is>
      </c>
      <c r="F121" s="39" t="inlineStr">
        <is>
          <t>no</t>
        </is>
      </c>
    </row>
    <row r="122">
      <c r="A122" s="39" t="inlineStr">
        <is>
          <t>io</t>
        </is>
      </c>
      <c r="B122" s="39" t="inlineStr">
        <is>
          <t>R19</t>
        </is>
      </c>
      <c r="C122" s="39" t="inlineStr">
        <is>
          <t>12k</t>
        </is>
      </c>
      <c r="D122" s="39" t="inlineStr">
        <is>
          <t>R_1206_3216Metric</t>
        </is>
      </c>
      <c r="E122" s="39" t="inlineStr">
        <is>
          <t>C17912</t>
        </is>
      </c>
      <c r="F122" s="39" t="inlineStr">
        <is>
          <t>no</t>
        </is>
      </c>
    </row>
    <row r="123">
      <c r="A123" s="39" t="inlineStr">
        <is>
          <t>io</t>
        </is>
      </c>
      <c r="B123" s="39" t="inlineStr">
        <is>
          <t>R21</t>
        </is>
      </c>
      <c r="C123" s="39" t="inlineStr">
        <is>
          <t>47k</t>
        </is>
      </c>
      <c r="D123" s="39" t="inlineStr">
        <is>
          <t>R_0805_2012Metric</t>
        </is>
      </c>
      <c r="E123" s="39" t="inlineStr">
        <is>
          <t>C17713</t>
        </is>
      </c>
      <c r="F123" s="39" t="inlineStr">
        <is>
          <t>no</t>
        </is>
      </c>
    </row>
    <row r="124">
      <c r="A124" s="39" t="inlineStr">
        <is>
          <t>io</t>
        </is>
      </c>
      <c r="B124" s="39" t="inlineStr">
        <is>
          <t>R22</t>
        </is>
      </c>
      <c r="C124" s="39" t="inlineStr">
        <is>
          <t>47k</t>
        </is>
      </c>
      <c r="D124" s="39" t="inlineStr">
        <is>
          <t>R_0805_2012Metric</t>
        </is>
      </c>
      <c r="E124" s="39" t="inlineStr">
        <is>
          <t>C17713</t>
        </is>
      </c>
      <c r="F124" s="39" t="inlineStr">
        <is>
          <t>no</t>
        </is>
      </c>
    </row>
    <row r="125">
      <c r="A125" s="39" t="inlineStr">
        <is>
          <t>io</t>
        </is>
      </c>
      <c r="B125" s="39" t="inlineStr">
        <is>
          <t>R23</t>
        </is>
      </c>
      <c r="C125" s="39" t="inlineStr">
        <is>
          <t>100R</t>
        </is>
      </c>
      <c r="D125" s="39" t="inlineStr">
        <is>
          <t>R_0805_2012Metric</t>
        </is>
      </c>
      <c r="E125" s="39" t="inlineStr">
        <is>
          <t>C17408</t>
        </is>
      </c>
      <c r="F125" s="39" t="inlineStr">
        <is>
          <t>no</t>
        </is>
      </c>
    </row>
    <row r="126">
      <c r="A126" s="39" t="inlineStr">
        <is>
          <t>io</t>
        </is>
      </c>
      <c r="B126" s="39" t="inlineStr">
        <is>
          <t>R24</t>
        </is>
      </c>
      <c r="C126" s="39" t="inlineStr">
        <is>
          <t>100R</t>
        </is>
      </c>
      <c r="D126" s="39" t="inlineStr">
        <is>
          <t>R_0805_2012Metric</t>
        </is>
      </c>
      <c r="E126" s="39" t="inlineStr">
        <is>
          <t>C17408</t>
        </is>
      </c>
      <c r="F126" s="39" t="inlineStr">
        <is>
          <t>no</t>
        </is>
      </c>
    </row>
    <row r="127">
      <c r="A127" s="39" t="inlineStr">
        <is>
          <t>io</t>
        </is>
      </c>
      <c r="B127" s="39" t="inlineStr">
        <is>
          <t>R25</t>
        </is>
      </c>
      <c r="C127" s="39" t="inlineStr">
        <is>
          <t>10k</t>
        </is>
      </c>
      <c r="D127" s="39" t="inlineStr">
        <is>
          <t>R_0805_2012Metric</t>
        </is>
      </c>
      <c r="E127" s="39" t="inlineStr">
        <is>
          <t>C17414</t>
        </is>
      </c>
      <c r="F127" s="39" t="inlineStr">
        <is>
          <t>no</t>
        </is>
      </c>
    </row>
    <row r="128">
      <c r="A128" s="39" t="inlineStr">
        <is>
          <t>io</t>
        </is>
      </c>
      <c r="B128" s="39" t="inlineStr">
        <is>
          <t>R26</t>
        </is>
      </c>
      <c r="C128" s="39" t="inlineStr">
        <is>
          <t>10k</t>
        </is>
      </c>
      <c r="D128" s="39" t="inlineStr">
        <is>
          <t>R_0805_2012Metric</t>
        </is>
      </c>
      <c r="E128" s="39" t="inlineStr">
        <is>
          <t>C17414</t>
        </is>
      </c>
      <c r="F128" s="39" t="inlineStr">
        <is>
          <t>no</t>
        </is>
      </c>
    </row>
    <row r="129">
      <c r="A129" s="39" t="inlineStr">
        <is>
          <t>io</t>
        </is>
      </c>
      <c r="B129" s="39" t="inlineStr">
        <is>
          <t>R30</t>
        </is>
      </c>
      <c r="C129" s="39" t="inlineStr">
        <is>
          <t>100k</t>
        </is>
      </c>
      <c r="D129" s="39" t="inlineStr">
        <is>
          <t>R_0805_2012Metric</t>
        </is>
      </c>
      <c r="E129" s="39" t="inlineStr">
        <is>
          <t>C17407</t>
        </is>
      </c>
      <c r="F129" s="39" t="inlineStr">
        <is>
          <t>no</t>
        </is>
      </c>
    </row>
    <row r="130">
      <c r="A130" s="39" t="inlineStr">
        <is>
          <t>io</t>
        </is>
      </c>
      <c r="B130" s="39" t="inlineStr">
        <is>
          <t>R31</t>
        </is>
      </c>
      <c r="C130" s="39" t="inlineStr">
        <is>
          <t>100k</t>
        </is>
      </c>
      <c r="D130" s="39" t="inlineStr">
        <is>
          <t>R_0805_2012Metric</t>
        </is>
      </c>
      <c r="E130" s="39" t="inlineStr">
        <is>
          <t>C17407</t>
        </is>
      </c>
      <c r="F130" s="39" t="inlineStr">
        <is>
          <t>no</t>
        </is>
      </c>
    </row>
    <row r="131">
      <c r="A131" s="39" t="inlineStr">
        <is>
          <t>io</t>
        </is>
      </c>
      <c r="B131" s="39" t="inlineStr">
        <is>
          <t>R32</t>
        </is>
      </c>
      <c r="C131" s="39" t="inlineStr">
        <is>
          <t>100k</t>
        </is>
      </c>
      <c r="D131" s="39" t="inlineStr">
        <is>
          <t>R_0805_2012Metric</t>
        </is>
      </c>
      <c r="E131" s="39" t="inlineStr">
        <is>
          <t>C17407</t>
        </is>
      </c>
      <c r="F131" s="39" t="inlineStr">
        <is>
          <t>no</t>
        </is>
      </c>
    </row>
    <row r="132">
      <c r="A132" s="39" t="inlineStr">
        <is>
          <t>io</t>
        </is>
      </c>
      <c r="B132" s="39" t="inlineStr">
        <is>
          <t>R33</t>
        </is>
      </c>
      <c r="C132" s="39" t="inlineStr">
        <is>
          <t>100k</t>
        </is>
      </c>
      <c r="D132" s="39" t="inlineStr">
        <is>
          <t>R_0805_2012Metric</t>
        </is>
      </c>
      <c r="E132" s="39" t="inlineStr">
        <is>
          <t>C17407</t>
        </is>
      </c>
      <c r="F132" s="39" t="inlineStr">
        <is>
          <t>no</t>
        </is>
      </c>
    </row>
    <row r="133">
      <c r="A133" s="39" t="inlineStr">
        <is>
          <t>io</t>
        </is>
      </c>
      <c r="B133" s="39" t="inlineStr">
        <is>
          <t>R34</t>
        </is>
      </c>
      <c r="C133" s="39" t="inlineStr">
        <is>
          <t>100k</t>
        </is>
      </c>
      <c r="D133" s="39" t="inlineStr">
        <is>
          <t>R_0805_2012Metric</t>
        </is>
      </c>
      <c r="E133" s="39" t="inlineStr">
        <is>
          <t>C17407</t>
        </is>
      </c>
      <c r="F133" s="39" t="inlineStr">
        <is>
          <t>no</t>
        </is>
      </c>
    </row>
    <row r="134">
      <c r="A134" s="39" t="inlineStr">
        <is>
          <t>io</t>
        </is>
      </c>
      <c r="B134" s="39" t="inlineStr">
        <is>
          <t>R35</t>
        </is>
      </c>
      <c r="C134" s="39" t="inlineStr">
        <is>
          <t>100k</t>
        </is>
      </c>
      <c r="D134" s="39" t="inlineStr">
        <is>
          <t>R_0805_2012Metric</t>
        </is>
      </c>
      <c r="E134" s="39" t="inlineStr">
        <is>
          <t>C17407</t>
        </is>
      </c>
      <c r="F134" s="39" t="inlineStr">
        <is>
          <t>no</t>
        </is>
      </c>
    </row>
    <row r="135">
      <c r="A135" s="39" t="inlineStr">
        <is>
          <t>io</t>
        </is>
      </c>
      <c r="B135" s="39" t="inlineStr">
        <is>
          <t>R36</t>
        </is>
      </c>
      <c r="C135" s="39" t="inlineStr">
        <is>
          <t>9.1k</t>
        </is>
      </c>
      <c r="D135" s="39" t="inlineStr">
        <is>
          <t>R_0805_2012Metric</t>
        </is>
      </c>
      <c r="E135" s="39" t="inlineStr">
        <is>
          <t>C17855</t>
        </is>
      </c>
      <c r="F135" s="39" t="inlineStr">
        <is>
          <t>no</t>
        </is>
      </c>
    </row>
    <row r="136">
      <c r="A136" s="39" t="inlineStr">
        <is>
          <t>io</t>
        </is>
      </c>
      <c r="B136" s="39" t="inlineStr">
        <is>
          <t>R37</t>
        </is>
      </c>
      <c r="C136" s="39" t="inlineStr">
        <is>
          <t>9.1k</t>
        </is>
      </c>
      <c r="D136" s="39" t="inlineStr">
        <is>
          <t>R_0805_2012Metric</t>
        </is>
      </c>
      <c r="E136" s="39" t="inlineStr">
        <is>
          <t>C17855</t>
        </is>
      </c>
      <c r="F136" s="39" t="inlineStr">
        <is>
          <t>no</t>
        </is>
      </c>
    </row>
    <row r="137">
      <c r="A137" s="39" t="inlineStr">
        <is>
          <t>io</t>
        </is>
      </c>
      <c r="B137" s="39" t="inlineStr">
        <is>
          <t>R38</t>
        </is>
      </c>
      <c r="C137" s="39" t="inlineStr">
        <is>
          <t>1M</t>
        </is>
      </c>
      <c r="D137" s="39" t="inlineStr">
        <is>
          <t>R_0805_2012Metric</t>
        </is>
      </c>
      <c r="E137" s="39" t="inlineStr">
        <is>
          <t>C17514</t>
        </is>
      </c>
      <c r="F137" s="39" t="inlineStr">
        <is>
          <t>no</t>
        </is>
      </c>
    </row>
    <row r="138">
      <c r="A138" s="39" t="inlineStr">
        <is>
          <t>io</t>
        </is>
      </c>
      <c r="B138" s="39" t="inlineStr">
        <is>
          <t>R39</t>
        </is>
      </c>
      <c r="C138" s="39" t="inlineStr">
        <is>
          <t>1M</t>
        </is>
      </c>
      <c r="D138" s="39" t="inlineStr">
        <is>
          <t>R_0805_2012Metric</t>
        </is>
      </c>
      <c r="E138" s="39" t="inlineStr">
        <is>
          <t>C17514</t>
        </is>
      </c>
      <c r="F138" s="39" t="inlineStr">
        <is>
          <t>no</t>
        </is>
      </c>
    </row>
    <row r="139">
      <c r="A139" s="39" t="inlineStr">
        <is>
          <t>io</t>
        </is>
      </c>
      <c r="B139" s="39" t="inlineStr">
        <is>
          <t>R42</t>
        </is>
      </c>
      <c r="C139" s="39" t="inlineStr">
        <is>
          <t>4.7k</t>
        </is>
      </c>
      <c r="D139" s="39" t="inlineStr">
        <is>
          <t>R_0805_2012Metric</t>
        </is>
      </c>
      <c r="E139" s="39" t="inlineStr">
        <is>
          <t>C17673</t>
        </is>
      </c>
      <c r="F139" s="39" t="inlineStr">
        <is>
          <t>no</t>
        </is>
      </c>
    </row>
    <row r="140">
      <c r="A140" s="39" t="inlineStr">
        <is>
          <t>io</t>
        </is>
      </c>
      <c r="B140" s="39" t="inlineStr">
        <is>
          <t>R43</t>
        </is>
      </c>
      <c r="C140" s="39" t="inlineStr">
        <is>
          <t>10k</t>
        </is>
      </c>
      <c r="D140" s="39" t="inlineStr">
        <is>
          <t>R_0805_2012Metric</t>
        </is>
      </c>
      <c r="E140" s="39" t="inlineStr">
        <is>
          <t>C17414</t>
        </is>
      </c>
      <c r="F140" s="39" t="inlineStr">
        <is>
          <t>no</t>
        </is>
      </c>
    </row>
    <row r="141">
      <c r="A141" s="39" t="inlineStr">
        <is>
          <t>io</t>
        </is>
      </c>
      <c r="B141" s="39" t="inlineStr">
        <is>
          <t>R44</t>
        </is>
      </c>
      <c r="C141" s="39" t="inlineStr">
        <is>
          <t>10k</t>
        </is>
      </c>
      <c r="D141" s="39" t="inlineStr">
        <is>
          <t>R_0805_2012Metric</t>
        </is>
      </c>
      <c r="E141" s="39" t="inlineStr">
        <is>
          <t>C17414</t>
        </is>
      </c>
      <c r="F141" s="39" t="inlineStr">
        <is>
          <t>no</t>
        </is>
      </c>
    </row>
    <row r="142">
      <c r="A142" s="39" t="inlineStr">
        <is>
          <t>io</t>
        </is>
      </c>
      <c r="B142" s="39" t="inlineStr">
        <is>
          <t>R45</t>
        </is>
      </c>
      <c r="C142" s="39" t="inlineStr">
        <is>
          <t>2.2k</t>
        </is>
      </c>
      <c r="D142" s="39" t="inlineStr">
        <is>
          <t>R_0805_2012Metric</t>
        </is>
      </c>
      <c r="E142" s="39" t="inlineStr">
        <is>
          <t>C4356</t>
        </is>
      </c>
      <c r="F142" s="39" t="inlineStr">
        <is>
          <t>no</t>
        </is>
      </c>
    </row>
    <row r="143">
      <c r="A143" s="39" t="inlineStr">
        <is>
          <t>io</t>
        </is>
      </c>
      <c r="B143" s="39" t="inlineStr">
        <is>
          <t>R46</t>
        </is>
      </c>
      <c r="C143" s="39" t="inlineStr">
        <is>
          <t>4.7k</t>
        </is>
      </c>
      <c r="D143" s="39" t="inlineStr">
        <is>
          <t>R_0805_2012Metric</t>
        </is>
      </c>
      <c r="E143" s="39" t="inlineStr">
        <is>
          <t>C17673</t>
        </is>
      </c>
      <c r="F143" s="39" t="inlineStr">
        <is>
          <t>no</t>
        </is>
      </c>
    </row>
    <row r="144">
      <c r="A144" s="39" t="inlineStr">
        <is>
          <t>io</t>
        </is>
      </c>
      <c r="B144" s="39" t="inlineStr">
        <is>
          <t>R47</t>
        </is>
      </c>
      <c r="C144" s="39" t="inlineStr">
        <is>
          <t>10k</t>
        </is>
      </c>
      <c r="D144" s="39" t="inlineStr">
        <is>
          <t>R_0805_2012Metric</t>
        </is>
      </c>
      <c r="E144" s="39" t="inlineStr">
        <is>
          <t>C17414</t>
        </is>
      </c>
      <c r="F144" s="39" t="inlineStr">
        <is>
          <t>no</t>
        </is>
      </c>
    </row>
    <row r="145">
      <c r="A145" s="39" t="inlineStr">
        <is>
          <t>io</t>
        </is>
      </c>
      <c r="B145" s="39" t="inlineStr">
        <is>
          <t>R48</t>
        </is>
      </c>
      <c r="C145" s="39" t="inlineStr">
        <is>
          <t>10k</t>
        </is>
      </c>
      <c r="D145" s="39" t="inlineStr">
        <is>
          <t>R_0805_2012Metric</t>
        </is>
      </c>
      <c r="E145" s="39" t="inlineStr">
        <is>
          <t>C17414</t>
        </is>
      </c>
      <c r="F145" s="39" t="inlineStr">
        <is>
          <t>no</t>
        </is>
      </c>
    </row>
    <row r="146">
      <c r="A146" s="39" t="inlineStr">
        <is>
          <t>io</t>
        </is>
      </c>
      <c r="B146" s="39" t="inlineStr">
        <is>
          <t>R49</t>
        </is>
      </c>
      <c r="C146" s="39" t="inlineStr">
        <is>
          <t>2.2k</t>
        </is>
      </c>
      <c r="D146" s="39" t="inlineStr">
        <is>
          <t>R_0805_2012Metric</t>
        </is>
      </c>
      <c r="E146" s="39" t="inlineStr">
        <is>
          <t>C4356</t>
        </is>
      </c>
      <c r="F146" s="39" t="inlineStr">
        <is>
          <t>no</t>
        </is>
      </c>
    </row>
    <row r="147">
      <c r="A147" s="39" t="inlineStr">
        <is>
          <t>modem_rf</t>
        </is>
      </c>
      <c r="B147" s="39" t="inlineStr">
        <is>
          <t>R50</t>
        </is>
      </c>
      <c r="C147" s="39" t="inlineStr">
        <is>
          <t>100k</t>
        </is>
      </c>
      <c r="D147" s="39" t="inlineStr">
        <is>
          <t>R_0805_2012Metric</t>
        </is>
      </c>
      <c r="E147" s="39" t="inlineStr">
        <is>
          <t>C17407</t>
        </is>
      </c>
      <c r="F147" s="39" t="inlineStr">
        <is>
          <t>no</t>
        </is>
      </c>
    </row>
    <row r="148">
      <c r="A148" s="39" t="inlineStr">
        <is>
          <t>modem_rf</t>
        </is>
      </c>
      <c r="B148" s="39" t="inlineStr">
        <is>
          <t>R51</t>
        </is>
      </c>
      <c r="C148" s="39" t="inlineStr">
        <is>
          <t>10k</t>
        </is>
      </c>
      <c r="D148" s="39" t="inlineStr">
        <is>
          <t>R_0805_2012Metric</t>
        </is>
      </c>
      <c r="E148" s="39" t="inlineStr">
        <is>
          <t>C17414</t>
        </is>
      </c>
      <c r="F148" s="39" t="inlineStr">
        <is>
          <t>no</t>
        </is>
      </c>
    </row>
    <row r="149">
      <c r="A149" s="39" t="inlineStr">
        <is>
          <t>modem_rf</t>
        </is>
      </c>
      <c r="B149" s="39" t="inlineStr">
        <is>
          <t>R52</t>
        </is>
      </c>
      <c r="C149" s="39" t="inlineStr">
        <is>
          <t>47k</t>
        </is>
      </c>
      <c r="D149" s="39" t="inlineStr">
        <is>
          <t>R_0805_2012Metric</t>
        </is>
      </c>
      <c r="E149" s="39" t="inlineStr">
        <is>
          <t>C17713</t>
        </is>
      </c>
      <c r="F149" s="39" t="inlineStr">
        <is>
          <t>no</t>
        </is>
      </c>
    </row>
    <row r="150">
      <c r="A150" s="39" t="inlineStr">
        <is>
          <t>modem_rf</t>
        </is>
      </c>
      <c r="B150" s="39" t="inlineStr">
        <is>
          <t>R53</t>
        </is>
      </c>
      <c r="C150" s="39" t="inlineStr">
        <is>
          <t>4.7k</t>
        </is>
      </c>
      <c r="D150" s="39" t="inlineStr">
        <is>
          <t>R_0805_2012Metric</t>
        </is>
      </c>
      <c r="E150" s="39" t="inlineStr">
        <is>
          <t>C17673</t>
        </is>
      </c>
      <c r="F150" s="39" t="inlineStr">
        <is>
          <t>no</t>
        </is>
      </c>
    </row>
    <row r="151">
      <c r="A151" s="39" t="inlineStr">
        <is>
          <t>modem_rf</t>
        </is>
      </c>
      <c r="B151" s="39" t="inlineStr">
        <is>
          <t>R54</t>
        </is>
      </c>
      <c r="C151" s="39" t="inlineStr">
        <is>
          <t>47k</t>
        </is>
      </c>
      <c r="D151" s="39" t="inlineStr">
        <is>
          <t>R_0805_2012Metric</t>
        </is>
      </c>
      <c r="E151" s="39" t="inlineStr">
        <is>
          <t>C17713</t>
        </is>
      </c>
      <c r="F151" s="39" t="inlineStr">
        <is>
          <t>no</t>
        </is>
      </c>
    </row>
    <row r="152">
      <c r="A152" s="39" t="inlineStr">
        <is>
          <t>modem_rf</t>
        </is>
      </c>
      <c r="B152" s="39" t="inlineStr">
        <is>
          <t>R55</t>
        </is>
      </c>
      <c r="C152" s="39" t="inlineStr">
        <is>
          <t>4.7k</t>
        </is>
      </c>
      <c r="D152" s="39" t="inlineStr">
        <is>
          <t>R_0805_2012Metric</t>
        </is>
      </c>
      <c r="E152" s="39" t="inlineStr">
        <is>
          <t>C17673</t>
        </is>
      </c>
      <c r="F152" s="39" t="inlineStr">
        <is>
          <t>no</t>
        </is>
      </c>
    </row>
    <row r="153">
      <c r="A153" s="39" t="inlineStr">
        <is>
          <t>modem_rf</t>
        </is>
      </c>
      <c r="B153" s="39" t="inlineStr">
        <is>
          <t>R56</t>
        </is>
      </c>
      <c r="C153" s="39" t="inlineStr">
        <is>
          <t>47k</t>
        </is>
      </c>
      <c r="D153" s="39" t="inlineStr">
        <is>
          <t>R_0805_2012Metric</t>
        </is>
      </c>
      <c r="E153" s="39" t="inlineStr">
        <is>
          <t>C17414</t>
        </is>
      </c>
      <c r="F153" s="39" t="inlineStr">
        <is>
          <t>no</t>
        </is>
      </c>
    </row>
    <row r="154">
      <c r="A154" s="39" t="inlineStr">
        <is>
          <t>modem_rf</t>
        </is>
      </c>
      <c r="B154" s="39" t="inlineStr">
        <is>
          <t>R57</t>
        </is>
      </c>
      <c r="C154" s="39" t="inlineStr">
        <is>
          <t>4.7k</t>
        </is>
      </c>
      <c r="D154" s="39" t="inlineStr">
        <is>
          <t>R_0805_2012Metric</t>
        </is>
      </c>
      <c r="E154" s="39" t="inlineStr">
        <is>
          <t>C17673</t>
        </is>
      </c>
      <c r="F154" s="39" t="inlineStr">
        <is>
          <t>no</t>
        </is>
      </c>
    </row>
    <row r="155">
      <c r="A155" s="39" t="inlineStr">
        <is>
          <t>modem_rf</t>
        </is>
      </c>
      <c r="B155" s="39" t="inlineStr">
        <is>
          <t>R58</t>
        </is>
      </c>
      <c r="C155" s="39" t="inlineStr">
        <is>
          <t>47k</t>
        </is>
      </c>
      <c r="D155" s="39" t="inlineStr">
        <is>
          <t>R_0805_2012Metric</t>
        </is>
      </c>
      <c r="E155" s="39" t="inlineStr">
        <is>
          <t>C17414</t>
        </is>
      </c>
      <c r="F155" s="39" t="inlineStr">
        <is>
          <t>no</t>
        </is>
      </c>
    </row>
    <row r="156">
      <c r="A156" s="39" t="inlineStr">
        <is>
          <t>modem_rf</t>
        </is>
      </c>
      <c r="B156" s="39" t="inlineStr">
        <is>
          <t>R59</t>
        </is>
      </c>
      <c r="C156" s="39" t="inlineStr">
        <is>
          <t>4.7k</t>
        </is>
      </c>
      <c r="D156" s="39" t="inlineStr">
        <is>
          <t>R_0805_2012Metric</t>
        </is>
      </c>
      <c r="E156" s="39" t="inlineStr">
        <is>
          <t>C17673</t>
        </is>
      </c>
      <c r="F156" s="39" t="inlineStr">
        <is>
          <t>no</t>
        </is>
      </c>
    </row>
    <row r="157">
      <c r="A157" s="39" t="inlineStr">
        <is>
          <t>modem_rf</t>
        </is>
      </c>
      <c r="B157" s="39" t="inlineStr">
        <is>
          <t>R60</t>
        </is>
      </c>
      <c r="C157" s="39" t="inlineStr">
        <is>
          <t>47k</t>
        </is>
      </c>
      <c r="D157" s="39" t="inlineStr">
        <is>
          <t>R_0805_2012Metric</t>
        </is>
      </c>
      <c r="E157" s="39" t="inlineStr">
        <is>
          <t>C17713</t>
        </is>
      </c>
      <c r="F157" s="39" t="inlineStr">
        <is>
          <t>no</t>
        </is>
      </c>
    </row>
    <row r="158">
      <c r="A158" s="39" t="inlineStr">
        <is>
          <t>modem_rf</t>
        </is>
      </c>
      <c r="B158" s="39" t="inlineStr">
        <is>
          <t>R61</t>
        </is>
      </c>
      <c r="C158" s="39" t="inlineStr">
        <is>
          <t>47k</t>
        </is>
      </c>
      <c r="D158" s="39" t="inlineStr">
        <is>
          <t>R_0805_2012Metric</t>
        </is>
      </c>
      <c r="E158" s="39" t="inlineStr">
        <is>
          <t>C17713</t>
        </is>
      </c>
      <c r="F158" s="39" t="inlineStr">
        <is>
          <t>no</t>
        </is>
      </c>
    </row>
    <row r="159">
      <c r="A159" s="39" t="inlineStr">
        <is>
          <t>modem_rf</t>
        </is>
      </c>
      <c r="B159" s="39" t="inlineStr">
        <is>
          <t>R62</t>
        </is>
      </c>
      <c r="C159" s="39" t="inlineStr">
        <is>
          <t>10k</t>
        </is>
      </c>
      <c r="D159" s="39" t="inlineStr">
        <is>
          <t>R_0805_2012Metric</t>
        </is>
      </c>
      <c r="E159" s="39" t="inlineStr">
        <is>
          <t>C17414</t>
        </is>
      </c>
      <c r="F159" s="39" t="inlineStr">
        <is>
          <t>no</t>
        </is>
      </c>
    </row>
    <row r="160">
      <c r="A160" s="39" t="inlineStr">
        <is>
          <t>modem_rf</t>
        </is>
      </c>
      <c r="B160" s="39" t="inlineStr">
        <is>
          <t>R63</t>
        </is>
      </c>
      <c r="C160" s="39" t="inlineStr">
        <is>
          <t>47k</t>
        </is>
      </c>
      <c r="D160" s="39" t="inlineStr">
        <is>
          <t>R_0805_2012Metric</t>
        </is>
      </c>
      <c r="E160" s="39" t="inlineStr">
        <is>
          <t>C17713</t>
        </is>
      </c>
      <c r="F160" s="39" t="inlineStr">
        <is>
          <t>no</t>
        </is>
      </c>
    </row>
    <row r="161">
      <c r="A161" s="39" t="inlineStr">
        <is>
          <t>modem_rf</t>
        </is>
      </c>
      <c r="B161" s="39" t="inlineStr">
        <is>
          <t>R64</t>
        </is>
      </c>
      <c r="C161" s="39" t="inlineStr">
        <is>
          <t>4.7k</t>
        </is>
      </c>
      <c r="D161" s="39" t="inlineStr">
        <is>
          <t>R_0805_2012Metric</t>
        </is>
      </c>
      <c r="E161" s="39" t="inlineStr">
        <is>
          <t>C17673</t>
        </is>
      </c>
      <c r="F161" s="39" t="inlineStr">
        <is>
          <t>no</t>
        </is>
      </c>
    </row>
    <row r="162">
      <c r="A162" s="39" t="inlineStr">
        <is>
          <t>modem_rf</t>
        </is>
      </c>
      <c r="B162" s="39" t="inlineStr">
        <is>
          <t>R65</t>
        </is>
      </c>
      <c r="C162" s="39" t="inlineStr">
        <is>
          <t>1k</t>
        </is>
      </c>
      <c r="D162" s="39" t="inlineStr">
        <is>
          <t>R_0805_2012Metric</t>
        </is>
      </c>
      <c r="E162" s="39" t="inlineStr">
        <is>
          <t>C17513</t>
        </is>
      </c>
      <c r="F162" s="39" t="inlineStr">
        <is>
          <t>no</t>
        </is>
      </c>
    </row>
    <row r="163">
      <c r="A163" s="39" t="inlineStr">
        <is>
          <t>modem_rf</t>
        </is>
      </c>
      <c r="B163" s="39" t="inlineStr">
        <is>
          <t>R66</t>
        </is>
      </c>
      <c r="C163" s="39" t="inlineStr">
        <is>
          <t>33R</t>
        </is>
      </c>
      <c r="D163" s="39" t="inlineStr">
        <is>
          <t>R_0805_2012Metric</t>
        </is>
      </c>
      <c r="E163" s="39" t="inlineStr">
        <is>
          <t>C17408</t>
        </is>
      </c>
      <c r="F163" s="39" t="inlineStr">
        <is>
          <t>no</t>
        </is>
      </c>
    </row>
    <row r="164">
      <c r="A164" s="39" t="inlineStr">
        <is>
          <t>modem_rf</t>
        </is>
      </c>
      <c r="B164" s="39" t="inlineStr">
        <is>
          <t>R67</t>
        </is>
      </c>
      <c r="C164" s="39" t="inlineStr">
        <is>
          <t>33R</t>
        </is>
      </c>
      <c r="D164" s="39" t="inlineStr">
        <is>
          <t>R_0805_2012Metric</t>
        </is>
      </c>
      <c r="E164" s="39" t="inlineStr">
        <is>
          <t>C17408</t>
        </is>
      </c>
      <c r="F164" s="39" t="inlineStr">
        <is>
          <t>no</t>
        </is>
      </c>
    </row>
    <row r="165">
      <c r="A165" s="39" t="inlineStr">
        <is>
          <t>modem_rf</t>
        </is>
      </c>
      <c r="B165" s="39" t="inlineStr">
        <is>
          <t>R68</t>
        </is>
      </c>
      <c r="C165" s="39" t="inlineStr">
        <is>
          <t>33R</t>
        </is>
      </c>
      <c r="D165" s="39" t="inlineStr">
        <is>
          <t>R_0805_2012Metric</t>
        </is>
      </c>
      <c r="E165" s="39" t="inlineStr">
        <is>
          <t>C17408</t>
        </is>
      </c>
      <c r="F165" s="39" t="inlineStr">
        <is>
          <t>no</t>
        </is>
      </c>
    </row>
    <row r="166">
      <c r="A166" s="39" t="inlineStr">
        <is>
          <t>modem_rf</t>
        </is>
      </c>
      <c r="B166" s="39" t="inlineStr">
        <is>
          <t>R69</t>
        </is>
      </c>
      <c r="C166" s="39" t="inlineStr">
        <is>
          <t>0R</t>
        </is>
      </c>
      <c r="D166" s="39" t="inlineStr">
        <is>
          <t>R_0805_2012Metric</t>
        </is>
      </c>
      <c r="E166" s="39" t="inlineStr">
        <is>
          <t>C17477</t>
        </is>
      </c>
      <c r="F166" s="39" t="inlineStr">
        <is>
          <t>no</t>
        </is>
      </c>
    </row>
    <row r="167">
      <c r="A167" s="39" t="inlineStr">
        <is>
          <t>modem_rf</t>
        </is>
      </c>
      <c r="B167" s="39" t="inlineStr">
        <is>
          <t>R70</t>
        </is>
      </c>
      <c r="C167" s="39" t="inlineStr">
        <is>
          <t>0R</t>
        </is>
      </c>
      <c r="D167" s="39" t="inlineStr">
        <is>
          <t>R_0805_2012Metric</t>
        </is>
      </c>
      <c r="E167" s="39" t="inlineStr">
        <is>
          <t>C17477</t>
        </is>
      </c>
      <c r="F167" s="39" t="inlineStr">
        <is>
          <t>yes</t>
        </is>
      </c>
    </row>
    <row r="168">
      <c r="A168" s="39" t="inlineStr">
        <is>
          <t>modem_rf</t>
        </is>
      </c>
      <c r="B168" s="39" t="inlineStr">
        <is>
          <t>R71</t>
        </is>
      </c>
      <c r="C168" s="39" t="inlineStr">
        <is>
          <t>0R</t>
        </is>
      </c>
      <c r="D168" s="39" t="inlineStr">
        <is>
          <t>R_0402_1005Metric</t>
        </is>
      </c>
      <c r="E168" s="39" t="inlineStr">
        <is>
          <t>C17477</t>
        </is>
      </c>
      <c r="F168" s="39" t="inlineStr">
        <is>
          <t>no</t>
        </is>
      </c>
    </row>
    <row r="169">
      <c r="A169" s="39" t="inlineStr">
        <is>
          <t>modem_rf</t>
        </is>
      </c>
      <c r="B169" s="39" t="inlineStr">
        <is>
          <t>R72</t>
        </is>
      </c>
      <c r="C169" s="39" t="inlineStr">
        <is>
          <t>0R</t>
        </is>
      </c>
      <c r="D169" s="39" t="inlineStr">
        <is>
          <t>R_0402_1005Metric</t>
        </is>
      </c>
      <c r="E169" s="39" t="inlineStr">
        <is>
          <t>C17477</t>
        </is>
      </c>
      <c r="F169" s="39" t="inlineStr">
        <is>
          <t>no</t>
        </is>
      </c>
    </row>
    <row r="170">
      <c r="A170" s="39" t="inlineStr">
        <is>
          <t>power</t>
        </is>
      </c>
      <c r="B170" s="39" t="inlineStr">
        <is>
          <t>R80</t>
        </is>
      </c>
      <c r="C170" s="39" t="inlineStr">
        <is>
          <t>1R 2512 anti-surge</t>
        </is>
      </c>
      <c r="D170" s="39" t="inlineStr">
        <is>
          <t>R_2512_6332Metric</t>
        </is>
      </c>
      <c r="E170" s="39" t="inlineStr">
        <is>
          <t>C55348540</t>
        </is>
      </c>
      <c r="F170" s="39" t="inlineStr">
        <is>
          <t>no</t>
        </is>
      </c>
    </row>
    <row r="171">
      <c r="A171" s="39" t="inlineStr">
        <is>
          <t>power</t>
        </is>
      </c>
      <c r="B171" s="39" t="inlineStr">
        <is>
          <t>R81</t>
        </is>
      </c>
      <c r="C171" s="39" t="inlineStr">
        <is>
          <t>100k</t>
        </is>
      </c>
      <c r="D171" s="39" t="inlineStr">
        <is>
          <t>R_0805_2012Metric</t>
        </is>
      </c>
      <c r="E171" s="39" t="inlineStr">
        <is>
          <t>C17407</t>
        </is>
      </c>
      <c r="F171" s="39" t="inlineStr">
        <is>
          <t>no</t>
        </is>
      </c>
    </row>
    <row r="172">
      <c r="A172" s="39" t="inlineStr">
        <is>
          <t>power</t>
        </is>
      </c>
      <c r="B172" s="39" t="inlineStr">
        <is>
          <t>R82</t>
        </is>
      </c>
      <c r="C172" s="39" t="inlineStr">
        <is>
          <t>0R (F-12)</t>
        </is>
      </c>
      <c r="D172" s="39" t="inlineStr">
        <is>
          <t>R_0805_2012Metric</t>
        </is>
      </c>
      <c r="E172" s="39" t="inlineStr">
        <is>
          <t>C17477</t>
        </is>
      </c>
      <c r="F172" s="39" t="inlineStr">
        <is>
          <t>no</t>
        </is>
      </c>
    </row>
    <row r="173">
      <c r="A173" s="39" t="inlineStr">
        <is>
          <t>power</t>
        </is>
      </c>
      <c r="B173" s="39" t="inlineStr">
        <is>
          <t>R83</t>
        </is>
      </c>
      <c r="C173" s="39" t="inlineStr">
        <is>
          <t>4.3k</t>
        </is>
      </c>
      <c r="D173" s="39" t="inlineStr">
        <is>
          <t>R_0805_2012Metric</t>
        </is>
      </c>
      <c r="E173" s="39" t="inlineStr">
        <is>
          <t>TBD-F5</t>
        </is>
      </c>
      <c r="F173" s="39" t="inlineStr">
        <is>
          <t>no</t>
        </is>
      </c>
    </row>
    <row r="174">
      <c r="A174" s="39" t="inlineStr">
        <is>
          <t>power</t>
        </is>
      </c>
      <c r="B174" s="39" t="inlineStr">
        <is>
          <t>R84</t>
        </is>
      </c>
      <c r="C174" s="39" t="inlineStr">
        <is>
          <t>1.5k</t>
        </is>
      </c>
      <c r="D174" s="39" t="inlineStr">
        <is>
          <t>R_0805_2012Metric</t>
        </is>
      </c>
      <c r="E174" s="39" t="inlineStr">
        <is>
          <t>TBD-F5</t>
        </is>
      </c>
      <c r="F174" s="39" t="inlineStr">
        <is>
          <t>no</t>
        </is>
      </c>
    </row>
    <row r="175">
      <c r="A175" s="39" t="inlineStr">
        <is>
          <t>power</t>
        </is>
      </c>
      <c r="B175" s="39" t="inlineStr">
        <is>
          <t>R85</t>
        </is>
      </c>
      <c r="C175" s="39" t="inlineStr">
        <is>
          <t>976R</t>
        </is>
      </c>
      <c r="D175" s="39" t="inlineStr">
        <is>
          <t>R_0805_2012Metric</t>
        </is>
      </c>
      <c r="E175" s="39" t="inlineStr">
        <is>
          <t>TBD-F5</t>
        </is>
      </c>
      <c r="F175" s="39" t="inlineStr">
        <is>
          <t>no</t>
        </is>
      </c>
    </row>
    <row r="176">
      <c r="A176" s="39" t="inlineStr">
        <is>
          <t>power</t>
        </is>
      </c>
      <c r="B176" s="39" t="inlineStr">
        <is>
          <t>R86</t>
        </is>
      </c>
      <c r="C176" s="39" t="inlineStr">
        <is>
          <t>536R</t>
        </is>
      </c>
      <c r="D176" s="39" t="inlineStr">
        <is>
          <t>R_0805_2012Metric</t>
        </is>
      </c>
      <c r="E176" s="39" t="inlineStr">
        <is>
          <t>TBD-F5</t>
        </is>
      </c>
      <c r="F176" s="39" t="inlineStr">
        <is>
          <t>no</t>
        </is>
      </c>
    </row>
    <row r="177">
      <c r="A177" s="39" t="inlineStr">
        <is>
          <t>power</t>
        </is>
      </c>
      <c r="B177" s="39" t="inlineStr">
        <is>
          <t>R87</t>
        </is>
      </c>
      <c r="C177" s="39" t="inlineStr">
        <is>
          <t>10k</t>
        </is>
      </c>
      <c r="D177" s="39" t="inlineStr">
        <is>
          <t>R_0805_2012Metric</t>
        </is>
      </c>
      <c r="E177" s="39" t="inlineStr">
        <is>
          <t>C17414</t>
        </is>
      </c>
      <c r="F177" s="39" t="inlineStr">
        <is>
          <t>no</t>
        </is>
      </c>
    </row>
    <row r="178">
      <c r="A178" s="39" t="inlineStr">
        <is>
          <t>power</t>
        </is>
      </c>
      <c r="B178" s="39" t="inlineStr">
        <is>
          <t>R88</t>
        </is>
      </c>
      <c r="C178" s="39" t="inlineStr">
        <is>
          <t>5.23k</t>
        </is>
      </c>
      <c r="D178" s="39" t="inlineStr">
        <is>
          <t>R_0805_2012Metric</t>
        </is>
      </c>
      <c r="E178" s="39" t="inlineStr">
        <is>
          <t>TBD-F5</t>
        </is>
      </c>
      <c r="F178" s="39" t="inlineStr">
        <is>
          <t>no</t>
        </is>
      </c>
    </row>
    <row r="179">
      <c r="A179" s="39" t="inlineStr">
        <is>
          <t>power</t>
        </is>
      </c>
      <c r="B179" s="39" t="inlineStr">
        <is>
          <t>R89</t>
        </is>
      </c>
      <c r="C179" s="39" t="inlineStr">
        <is>
          <t>30.1k</t>
        </is>
      </c>
      <c r="D179" s="39" t="inlineStr">
        <is>
          <t>R_0805_2012Metric</t>
        </is>
      </c>
      <c r="E179" s="39" t="inlineStr">
        <is>
          <t>TBD-F5</t>
        </is>
      </c>
      <c r="F179" s="39" t="inlineStr">
        <is>
          <t>no</t>
        </is>
      </c>
    </row>
    <row r="180">
      <c r="A180" s="39" t="inlineStr">
        <is>
          <t>modem_rf</t>
        </is>
      </c>
      <c r="B180" s="39" t="inlineStr">
        <is>
          <t>R90</t>
        </is>
      </c>
      <c r="C180" s="39" t="inlineStr">
        <is>
          <t>68R</t>
        </is>
      </c>
      <c r="D180" s="39" t="inlineStr">
        <is>
          <t>R_1210_3225Metric</t>
        </is>
      </c>
      <c r="E180" s="39" t="inlineStr">
        <is>
          <t>TBD-F22</t>
        </is>
      </c>
      <c r="F180" s="39" t="inlineStr">
        <is>
          <t>no</t>
        </is>
      </c>
    </row>
    <row r="181">
      <c r="A181" s="39" t="inlineStr">
        <is>
          <t>mcu</t>
        </is>
      </c>
      <c r="B181" s="39" t="inlineStr">
        <is>
          <t>TP1</t>
        </is>
      </c>
      <c r="C181" s="39" t="inlineStr">
        <is>
          <t>SWDIO</t>
        </is>
      </c>
      <c r="D181" s="39" t="inlineStr">
        <is>
          <t>TestPoint_Pad_D1.5mm</t>
        </is>
      </c>
      <c r="E181" s="39" t="inlineStr"/>
      <c r="F181" s="39" t="inlineStr">
        <is>
          <t>no</t>
        </is>
      </c>
    </row>
    <row r="182">
      <c r="A182" s="39" t="inlineStr">
        <is>
          <t>mcu</t>
        </is>
      </c>
      <c r="B182" s="39" t="inlineStr">
        <is>
          <t>TP2</t>
        </is>
      </c>
      <c r="C182" s="39" t="inlineStr">
        <is>
          <t>SWCLK</t>
        </is>
      </c>
      <c r="D182" s="39" t="inlineStr">
        <is>
          <t>TestPoint_Pad_D1.5mm</t>
        </is>
      </c>
      <c r="E182" s="39" t="inlineStr"/>
      <c r="F182" s="39" t="inlineStr">
        <is>
          <t>no</t>
        </is>
      </c>
    </row>
    <row r="183">
      <c r="A183" s="39" t="inlineStr">
        <is>
          <t>mcu</t>
        </is>
      </c>
      <c r="B183" s="39" t="inlineStr">
        <is>
          <t>TP3</t>
        </is>
      </c>
      <c r="C183" s="39" t="inlineStr">
        <is>
          <t>NRST</t>
        </is>
      </c>
      <c r="D183" s="39" t="inlineStr">
        <is>
          <t>TestPoint_Pad_D1.5mm</t>
        </is>
      </c>
      <c r="E183" s="39" t="inlineStr"/>
      <c r="F183" s="39" t="inlineStr">
        <is>
          <t>no</t>
        </is>
      </c>
    </row>
    <row r="184">
      <c r="A184" s="39" t="inlineStr">
        <is>
          <t>mcu</t>
        </is>
      </c>
      <c r="B184" s="39" t="inlineStr">
        <is>
          <t>TP4</t>
        </is>
      </c>
      <c r="C184" s="39" t="inlineStr">
        <is>
          <t>DBG_TX</t>
        </is>
      </c>
      <c r="D184" s="39" t="inlineStr">
        <is>
          <t>TestPoint_Pad_D1.5mm</t>
        </is>
      </c>
      <c r="E184" s="39" t="inlineStr"/>
      <c r="F184" s="39" t="inlineStr">
        <is>
          <t>no</t>
        </is>
      </c>
    </row>
    <row r="185">
      <c r="A185" s="39" t="inlineStr">
        <is>
          <t>mcu</t>
        </is>
      </c>
      <c r="B185" s="39" t="inlineStr">
        <is>
          <t>TP5</t>
        </is>
      </c>
      <c r="C185" s="39" t="inlineStr">
        <is>
          <t>DBG_RX</t>
        </is>
      </c>
      <c r="D185" s="39" t="inlineStr">
        <is>
          <t>TestPoint_Pad_D1.5mm</t>
        </is>
      </c>
      <c r="E185" s="39" t="inlineStr"/>
      <c r="F185" s="39" t="inlineStr">
        <is>
          <t>no</t>
        </is>
      </c>
    </row>
    <row r="186">
      <c r="A186" s="39" t="inlineStr">
        <is>
          <t>mcu</t>
        </is>
      </c>
      <c r="B186" s="39" t="inlineStr">
        <is>
          <t>TP6</t>
        </is>
      </c>
      <c r="C186" s="39" t="inlineStr">
        <is>
          <t>3V3</t>
        </is>
      </c>
      <c r="D186" s="39" t="inlineStr">
        <is>
          <t>TestPoint_Pad_D1.5mm</t>
        </is>
      </c>
      <c r="E186" s="39" t="inlineStr"/>
      <c r="F186" s="39" t="inlineStr">
        <is>
          <t>no</t>
        </is>
      </c>
    </row>
    <row r="187">
      <c r="A187" s="39" t="inlineStr">
        <is>
          <t>mcu</t>
        </is>
      </c>
      <c r="B187" s="39" t="inlineStr">
        <is>
          <t>TP7</t>
        </is>
      </c>
      <c r="C187" s="39" t="inlineStr">
        <is>
          <t>GND</t>
        </is>
      </c>
      <c r="D187" s="39" t="inlineStr">
        <is>
          <t>TestPoint_Pad_D1.5mm</t>
        </is>
      </c>
      <c r="E187" s="39" t="inlineStr"/>
      <c r="F187" s="39" t="inlineStr">
        <is>
          <t>no</t>
        </is>
      </c>
    </row>
    <row r="188">
      <c r="A188" s="39" t="inlineStr">
        <is>
          <t>io</t>
        </is>
      </c>
      <c r="B188" s="39" t="inlineStr">
        <is>
          <t>TP13</t>
        </is>
      </c>
      <c r="C188" s="39" t="inlineStr">
        <is>
          <t>SYS</t>
        </is>
      </c>
      <c r="D188" s="39" t="inlineStr">
        <is>
          <t>TestPoint_Pad_D1.5mm</t>
        </is>
      </c>
      <c r="E188" s="39" t="inlineStr"/>
      <c r="F188" s="39" t="inlineStr">
        <is>
          <t>no</t>
        </is>
      </c>
    </row>
    <row r="189">
      <c r="A189" s="39" t="inlineStr">
        <is>
          <t>modem_rf</t>
        </is>
      </c>
      <c r="B189" s="39" t="inlineStr">
        <is>
          <t>TP15</t>
        </is>
      </c>
      <c r="C189" s="39" t="inlineStr">
        <is>
          <t>USB_DP_TP</t>
        </is>
      </c>
      <c r="D189" s="39" t="inlineStr">
        <is>
          <t>TestPoint_Pad_D1.5mm</t>
        </is>
      </c>
      <c r="E189" s="39" t="inlineStr"/>
      <c r="F189" s="39" t="inlineStr">
        <is>
          <t>no</t>
        </is>
      </c>
    </row>
    <row r="190">
      <c r="A190" s="39" t="inlineStr">
        <is>
          <t>modem_rf</t>
        </is>
      </c>
      <c r="B190" s="39" t="inlineStr">
        <is>
          <t>TP16</t>
        </is>
      </c>
      <c r="C190" s="39" t="inlineStr">
        <is>
          <t>USB_DM_TP</t>
        </is>
      </c>
      <c r="D190" s="39" t="inlineStr">
        <is>
          <t>TestPoint_Pad_D1.5mm</t>
        </is>
      </c>
      <c r="E190" s="39" t="inlineStr"/>
      <c r="F190" s="39" t="inlineStr">
        <is>
          <t>no</t>
        </is>
      </c>
    </row>
    <row r="191">
      <c r="A191" s="39" t="inlineStr">
        <is>
          <t>modem_rf</t>
        </is>
      </c>
      <c r="B191" s="39" t="inlineStr">
        <is>
          <t>TP17</t>
        </is>
      </c>
      <c r="C191" s="39" t="inlineStr">
        <is>
          <t>USB_VBUS</t>
        </is>
      </c>
      <c r="D191" s="39" t="inlineStr">
        <is>
          <t>TestPoint_Pad_D1.5mm</t>
        </is>
      </c>
      <c r="E191" s="39" t="inlineStr"/>
      <c r="F191" s="39" t="inlineStr">
        <is>
          <t>no</t>
        </is>
      </c>
    </row>
    <row r="192">
      <c r="A192" s="39" t="inlineStr">
        <is>
          <t>modem_rf</t>
        </is>
      </c>
      <c r="B192" s="39" t="inlineStr">
        <is>
          <t>TP18</t>
        </is>
      </c>
      <c r="C192" s="39" t="inlineStr">
        <is>
          <t>GND</t>
        </is>
      </c>
      <c r="D192" s="39" t="inlineStr">
        <is>
          <t>TestPoint_Pad_D1.5mm</t>
        </is>
      </c>
      <c r="E192" s="39" t="inlineStr"/>
      <c r="F192" s="39" t="inlineStr">
        <is>
          <t>no</t>
        </is>
      </c>
    </row>
    <row r="193">
      <c r="A193" s="39" t="inlineStr">
        <is>
          <t>power</t>
        </is>
      </c>
      <c r="B193" s="39" t="inlineStr">
        <is>
          <t>TP19</t>
        </is>
      </c>
      <c r="C193" s="39" t="inlineStr">
        <is>
          <t>5V0</t>
        </is>
      </c>
      <c r="D193" s="39" t="inlineStr">
        <is>
          <t>TestPoint_Pad_D1.5mm</t>
        </is>
      </c>
      <c r="E193" s="39" t="inlineStr"/>
      <c r="F193" s="39" t="inlineStr">
        <is>
          <t>no</t>
        </is>
      </c>
    </row>
    <row r="194">
      <c r="A194" s="39" t="inlineStr">
        <is>
          <t>power</t>
        </is>
      </c>
      <c r="B194" s="39" t="inlineStr">
        <is>
          <t>TP23</t>
        </is>
      </c>
      <c r="C194" s="39" t="inlineStr">
        <is>
          <t>VIN</t>
        </is>
      </c>
      <c r="D194" s="39" t="inlineStr">
        <is>
          <t>TestPoint_Pad_D1.5mm</t>
        </is>
      </c>
      <c r="E194" s="39" t="inlineStr"/>
      <c r="F194" s="39" t="inlineStr">
        <is>
          <t>no</t>
        </is>
      </c>
    </row>
    <row r="195">
      <c r="A195" s="39" t="inlineStr">
        <is>
          <t>modem_rf</t>
        </is>
      </c>
      <c r="B195" s="39" t="inlineStr">
        <is>
          <t>TP24</t>
        </is>
      </c>
      <c r="C195" s="39" t="inlineStr">
        <is>
          <t>VBAT_MODEM</t>
        </is>
      </c>
      <c r="D195" s="39" t="inlineStr">
        <is>
          <t>TestPoint_Pad_D1.5mm</t>
        </is>
      </c>
      <c r="E195" s="39" t="inlineStr"/>
      <c r="F195" s="39" t="inlineStr">
        <is>
          <t>no</t>
        </is>
      </c>
    </row>
    <row r="196">
      <c r="A196" s="39" t="inlineStr">
        <is>
          <t>io</t>
        </is>
      </c>
      <c r="B196" s="39" t="inlineStr">
        <is>
          <t>TP25</t>
        </is>
      </c>
      <c r="C196" s="39" t="inlineStr">
        <is>
          <t>CANH</t>
        </is>
      </c>
      <c r="D196" s="39" t="inlineStr">
        <is>
          <t>TestPoint_Pad_D1.5mm</t>
        </is>
      </c>
      <c r="E196" s="39" t="inlineStr"/>
      <c r="F196" s="39" t="inlineStr">
        <is>
          <t>no</t>
        </is>
      </c>
    </row>
    <row r="197">
      <c r="A197" s="39" t="inlineStr">
        <is>
          <t>io</t>
        </is>
      </c>
      <c r="B197" s="39" t="inlineStr">
        <is>
          <t>TP26</t>
        </is>
      </c>
      <c r="C197" s="39" t="inlineStr">
        <is>
          <t>CANL</t>
        </is>
      </c>
      <c r="D197" s="39" t="inlineStr">
        <is>
          <t>TestPoint_Pad_D1.5mm</t>
        </is>
      </c>
      <c r="E197" s="39" t="inlineStr"/>
      <c r="F197" s="39" t="inlineStr">
        <is>
          <t>no</t>
        </is>
      </c>
    </row>
    <row r="198">
      <c r="A198" s="39" t="inlineStr">
        <is>
          <t>mcu</t>
        </is>
      </c>
      <c r="B198" s="39" t="inlineStr">
        <is>
          <t>TP27</t>
        </is>
      </c>
      <c r="C198" s="39" t="inlineStr">
        <is>
          <t>MODEM_TX</t>
        </is>
      </c>
      <c r="D198" s="39" t="inlineStr">
        <is>
          <t>TestPoint_Pad_D1.5mm</t>
        </is>
      </c>
      <c r="E198" s="39" t="inlineStr"/>
      <c r="F198" s="39" t="inlineStr">
        <is>
          <t>no</t>
        </is>
      </c>
    </row>
    <row r="199">
      <c r="A199" s="39" t="inlineStr">
        <is>
          <t>mcu</t>
        </is>
      </c>
      <c r="B199" s="39" t="inlineStr">
        <is>
          <t>TP28</t>
        </is>
      </c>
      <c r="C199" s="39" t="inlineStr">
        <is>
          <t>MODEM_RX</t>
        </is>
      </c>
      <c r="D199" s="39" t="inlineStr">
        <is>
          <t>TestPoint_Pad_D1.5mm</t>
        </is>
      </c>
      <c r="E199" s="39" t="inlineStr"/>
      <c r="F199" s="39" t="inlineStr">
        <is>
          <t>no</t>
        </is>
      </c>
    </row>
    <row r="200">
      <c r="A200" s="39" t="inlineStr">
        <is>
          <t>modem_rf</t>
        </is>
      </c>
      <c r="B200" s="39" t="inlineStr">
        <is>
          <t>U1</t>
        </is>
      </c>
      <c r="C200" s="39" t="inlineStr">
        <is>
          <t>EC200UCNAA-N05-SGNSA</t>
        </is>
      </c>
      <c r="D200" s="39" t="inlineStr">
        <is>
          <t>LCC-LGA-144_L31.0-W28.0-P1.30_L610-CN-02</t>
        </is>
      </c>
      <c r="E200" s="39" t="inlineStr">
        <is>
          <t>C2916205</t>
        </is>
      </c>
      <c r="F200" s="39" t="inlineStr">
        <is>
          <t>no</t>
        </is>
      </c>
    </row>
    <row r="201">
      <c r="A201" s="39" t="inlineStr">
        <is>
          <t>mcu</t>
        </is>
      </c>
      <c r="B201" s="39" t="inlineStr">
        <is>
          <t>U2</t>
        </is>
      </c>
      <c r="C201" s="39" t="inlineStr">
        <is>
          <t>AT32F403ACGT7</t>
        </is>
      </c>
      <c r="D201" s="39" t="inlineStr">
        <is>
          <t>LQFP-48_L7.0-W7.0-P0.50-LS9.0-BL_1</t>
        </is>
      </c>
      <c r="E201" s="39" t="inlineStr">
        <is>
          <t>C55058656</t>
        </is>
      </c>
      <c r="F201" s="39" t="inlineStr">
        <is>
          <t>no</t>
        </is>
      </c>
    </row>
    <row r="202">
      <c r="A202" s="39" t="inlineStr">
        <is>
          <t>mcu</t>
        </is>
      </c>
      <c r="B202" s="39" t="inlineStr">
        <is>
          <t>U3</t>
        </is>
      </c>
      <c r="C202" s="39" t="inlineStr">
        <is>
          <t>QMI8658B</t>
        </is>
      </c>
      <c r="D202" s="39" t="inlineStr">
        <is>
          <t>LGA-14_L3.0-W2.5-P0.50-TL</t>
        </is>
      </c>
      <c r="E202" s="39" t="inlineStr">
        <is>
          <t>C5380158</t>
        </is>
      </c>
      <c r="F202" s="39" t="inlineStr">
        <is>
          <t>no</t>
        </is>
      </c>
    </row>
    <row r="203">
      <c r="A203" s="39" t="inlineStr">
        <is>
          <t>io</t>
        </is>
      </c>
      <c r="B203" s="39" t="inlineStr">
        <is>
          <t>U4</t>
        </is>
      </c>
      <c r="C203" s="39" t="inlineStr">
        <is>
          <t>SIT1051AT/3</t>
        </is>
      </c>
      <c r="D203" s="39" t="inlineStr">
        <is>
          <t>SOP-8_L4.9-W3.9-P1.27-LS6.0-BL</t>
        </is>
      </c>
      <c r="E203" s="39" t="inlineStr">
        <is>
          <t>C5382551</t>
        </is>
      </c>
      <c r="F203" s="39" t="inlineStr">
        <is>
          <t>no</t>
        </is>
      </c>
    </row>
    <row r="204">
      <c r="A204" s="39" t="inlineStr">
        <is>
          <t>power</t>
        </is>
      </c>
      <c r="B204" s="39" t="inlineStr">
        <is>
          <t>U5</t>
        </is>
      </c>
      <c r="C204" s="39" t="inlineStr">
        <is>
          <t>EG11752</t>
        </is>
      </c>
      <c r="D204" s="39" t="inlineStr">
        <is>
          <t>SOIC-8_L4.9-W3.9-P1.27-LS6.0-BL-EP3.3-1</t>
        </is>
      </c>
      <c r="E204" s="39" t="inlineStr">
        <is>
          <t>C53368402</t>
        </is>
      </c>
      <c r="F204" s="39" t="inlineStr">
        <is>
          <t>no</t>
        </is>
      </c>
    </row>
    <row r="205">
      <c r="A205" s="39" t="inlineStr">
        <is>
          <t>power</t>
        </is>
      </c>
      <c r="B205" s="39" t="inlineStr">
        <is>
          <t>U6</t>
        </is>
      </c>
      <c r="C205" s="39" t="inlineStr">
        <is>
          <t>BQ25606RGER</t>
        </is>
      </c>
      <c r="D205" s="39" t="inlineStr">
        <is>
          <t>VQFN-24_L4.0-W4.0-P0.50-TL-EP2.8</t>
        </is>
      </c>
      <c r="E205" s="39" t="inlineStr">
        <is>
          <t>C374063</t>
        </is>
      </c>
      <c r="F205" s="39" t="inlineStr">
        <is>
          <t>no</t>
        </is>
      </c>
    </row>
    <row r="206">
      <c r="A206" s="39" t="inlineStr">
        <is>
          <t>storage</t>
        </is>
      </c>
      <c r="B206" s="39" t="inlineStr">
        <is>
          <t>U7</t>
        </is>
      </c>
      <c r="C206" s="39" t="inlineStr">
        <is>
          <t>GD25Q64ESIGR</t>
        </is>
      </c>
      <c r="D206" s="39" t="inlineStr">
        <is>
          <t>SOP-8_L5.3-W5.3-P1.27-LS8.0-BL</t>
        </is>
      </c>
      <c r="E206" s="39" t="inlineStr">
        <is>
          <t>C2831359</t>
        </is>
      </c>
      <c r="F206" s="39" t="inlineStr">
        <is>
          <t>no</t>
        </is>
      </c>
    </row>
    <row r="207">
      <c r="A207" s="39" t="inlineStr">
        <is>
          <t>modem_rf</t>
        </is>
      </c>
      <c r="B207" s="39" t="inlineStr">
        <is>
          <t>U8</t>
        </is>
      </c>
      <c r="C207" s="39" t="inlineStr">
        <is>
          <t>TXB0104PWR</t>
        </is>
      </c>
      <c r="D207" s="39" t="inlineStr">
        <is>
          <t>TSSOP-14_L5.0-W4.4-P0.65-LS6.4-BL</t>
        </is>
      </c>
      <c r="E207" s="39" t="inlineStr">
        <is>
          <t>C60708</t>
        </is>
      </c>
      <c r="F207" s="39" t="inlineStr">
        <is>
          <t>no</t>
        </is>
      </c>
    </row>
    <row r="208">
      <c r="A208" s="39" t="inlineStr">
        <is>
          <t>power</t>
        </is>
      </c>
      <c r="B208" s="39" t="inlineStr">
        <is>
          <t>U9</t>
        </is>
      </c>
      <c r="C208" s="39" t="inlineStr">
        <is>
          <t>ME6211C33M5G</t>
        </is>
      </c>
      <c r="D208" s="39" t="inlineStr">
        <is>
          <t>SOT-23-5_L3.0-W1.7-P0.95-LS2.8-BL</t>
        </is>
      </c>
      <c r="E208" s="39" t="inlineStr">
        <is>
          <t>C82942</t>
        </is>
      </c>
      <c r="F208" s="39" t="inlineStr">
        <is>
          <t>no</t>
        </is>
      </c>
    </row>
    <row r="209">
      <c r="A209" s="39" t="inlineStr">
        <is>
          <t>modem_rf</t>
        </is>
      </c>
      <c r="B209" s="39" t="inlineStr">
        <is>
          <t>X1</t>
        </is>
      </c>
      <c r="C209" s="39" t="inlineStr">
        <is>
          <t>NANO-SIM</t>
        </is>
      </c>
      <c r="D209" s="39" t="inlineStr">
        <is>
          <t>SIM-SMD_YKSIM-PUSH137-140NANO</t>
        </is>
      </c>
      <c r="E209" s="39" t="inlineStr">
        <is>
          <t>C53207808</t>
        </is>
      </c>
      <c r="F209" s="39" t="inlineStr">
        <is>
          <t>no</t>
        </is>
      </c>
    </row>
    <row r="210">
      <c r="A210" s="39" t="inlineStr">
        <is>
          <t>modem_rf</t>
        </is>
      </c>
      <c r="B210" s="39" t="inlineStr">
        <is>
          <t>X2</t>
        </is>
      </c>
      <c r="C210" s="39" t="inlineStr">
        <is>
          <t>MFF2-eSIM-pads</t>
        </is>
      </c>
      <c r="D210" s="39" t="inlineStr">
        <is>
          <t>eSIM_MFF2_VFDFPN8</t>
        </is>
      </c>
      <c r="E210" s="39" t="inlineStr">
        <is>
          <t>DNP-MFF2</t>
        </is>
      </c>
      <c r="F210" s="39" t="inlineStr">
        <is>
          <t>yes</t>
        </is>
      </c>
    </row>
    <row r="211">
      <c r="A211" s="39" t="inlineStr">
        <is>
          <t>mcu</t>
        </is>
      </c>
      <c r="B211" s="39" t="inlineStr">
        <is>
          <t>Y1</t>
        </is>
      </c>
      <c r="C211" s="39" t="inlineStr">
        <is>
          <t>8MHz</t>
        </is>
      </c>
      <c r="D211" s="39" t="inlineStr">
        <is>
          <t>Crystal_SMD_3225-4Pin_3.2x2.5mm</t>
        </is>
      </c>
      <c r="E211" s="39" t="inlineStr">
        <is>
          <t>C115962</t>
        </is>
      </c>
      <c r="F211" s="39" t="inlineStr">
        <is>
          <t>no</t>
        </is>
      </c>
    </row>
    <row r="212">
      <c r="A212" s="39" t="inlineStr">
        <is>
          <t>mcu</t>
        </is>
      </c>
      <c r="B212" s="39" t="inlineStr">
        <is>
          <t>Y2</t>
        </is>
      </c>
      <c r="C212" s="39" t="inlineStr">
        <is>
          <t>32.768kHz</t>
        </is>
      </c>
      <c r="D212" s="39" t="inlineStr">
        <is>
          <t>Crystal_SMD_3215-2Pin_3.2x1.5mm</t>
        </is>
      </c>
      <c r="E212" s="39" t="inlineStr">
        <is>
          <t>C32346</t>
        </is>
      </c>
      <c r="F212" s="39" t="inlineStr">
        <is>
          <t>no</t>
        </is>
      </c>
    </row>
  </sheetData>
  <autoFilter ref="A1:F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2026-10-02T03:47:38Z</dcterms:created>
  <dcterms:modified xsi:type="dcterms:W3CDTF">2026-10-02T03:47:38Z</dcterms:modified>
</cp:coreProperties>
</file>